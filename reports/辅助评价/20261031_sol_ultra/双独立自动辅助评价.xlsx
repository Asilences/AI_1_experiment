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af94d135b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价汇总" sheetId="1" r:id="R1606a8fc02a44944"/>
    <x:sheet xmlns:r="http://schemas.openxmlformats.org/officeDocument/2006/relationships" name="逐条评分" sheetId="2" r:id="R9b716f1f2f1c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%"/>
    <x:numFmt numFmtId="203" formatCode="0.0%"/>
  </x:numFmts>
  <x:fonts count="5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  <x:font>
      <x:sz val="10"/>
      <x:color rgb="FF627D9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627D9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546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7546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d1fc8e2564e70" /><Relationship Type="http://schemas.openxmlformats.org/officeDocument/2006/relationships/theme" Target="/xl/theme/theme1.xml" Id="R243bab8e7c164afa" /><Relationship Type="http://schemas.openxmlformats.org/officeDocument/2006/relationships/sharedStrings" Target="/xl/sharedStrings.xml" Id="Rc781580ef5b34bb1" /><Relationship Type="http://schemas.openxmlformats.org/officeDocument/2006/relationships/worksheet" Target="/xl/worksheets/sheet1.xml" Id="R1606a8fc02a44944" /><Relationship Type="http://schemas.openxmlformats.org/officeDocument/2006/relationships/worksheet" Target="/xl/worksheets/sheet2.xml" Id="R9b716f1f2f1c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4" t="str">
        <x:v>双独立自动辅助评价</x:v>
      </x:c>
      <x:c r="B2" s="5"/>
      <x:c r="C2" s="5"/>
      <x:c r="D2" s="5"/>
      <x:c r="E2" s="5"/>
      <x:c r="F2" s="5"/>
      <x:c r="G2" s="5"/>
      <x:c r="H2" s="5"/>
    </x:row>
    <x:row r="3" ht="23" customHeight="1">
      <x:c r="A3" s="2" t="str">
        <x:v>模型 gpt-6.1-sol；推理强度 ultra；两个独立上下文，各评200条答案，共400条判断。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评价性质：AI辅助评价，不属于周新永或夏俊杰的真人评分。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36" customHeight="1">
      <x:c r="A6" s="10" t="str">
        <x:v>自动评审</x:v>
      </x:c>
      <x:c r="B6" s="11" t="str">
        <x:v>系统</x:v>
      </x:c>
      <x:c r="C6" s="11" t="str">
        <x:v>答案数</x:v>
      </x:c>
      <x:c r="D6" s="11" t="str">
        <x:v>准确性均值
0–2</x:v>
      </x:c>
      <x:c r="E6" s="11" t="str">
        <x:v>完整性均值
0–2</x:v>
      </x:c>
      <x:c r="F6" s="11" t="str">
        <x:v>流畅度均值
1–5</x:v>
      </x:c>
      <x:c r="G6" s="11" t="str">
        <x:v>无依据断言
条数</x:v>
      </x:c>
      <x:c r="H6" s="12" t="str">
        <x:v>无依据断言
比例</x:v>
      </x:c>
    </x:row>
    <x:row r="7" ht="23" customHeight="1">
      <x:c r="A7" s="2" t="str">
        <x:v>自动评审01</x:v>
      </x:c>
      <x:c r="B7" s="2" t="str">
        <x:v>A0</x:v>
      </x:c>
      <x:c r="C7" s="16" t="n">
        <x:f>COUNTIFS('逐条评分'!$H$6:$H$405,A7,'逐条评分'!$G$6:$G$405,B7)</x:f>
        <x:v>100</x:v>
      </x:c>
      <x:c r="D7" s="17" t="n">
        <x:f>AVERAGEIFS('逐条评分'!$I$6:$I$405,'逐条评分'!$H$6:$H$405,A7,'逐条评分'!$G$6:$G$405,B7)</x:f>
        <x:v>2</x:v>
      </x:c>
      <x:c r="E7" s="17" t="n">
        <x:f>AVERAGEIFS('逐条评分'!$J$6:$J$405,'逐条评分'!$H$6:$H$405,A7,'逐条评分'!$G$6:$G$405,B7)</x:f>
        <x:v>2</x:v>
      </x:c>
      <x:c r="F7" s="17" t="n">
        <x:f>AVERAGEIFS('逐条评分'!$K$6:$K$405,'逐条评分'!$H$6:$H$405,A7,'逐条评分'!$G$6:$G$405,B7)</x:f>
        <x:v>4.46</x:v>
      </x:c>
      <x:c r="G7" s="16" t="n">
        <x:f>SUMIFS('逐条评分'!$L$6:$L$405,'逐条评分'!$H$6:$H$405,A7,'逐条评分'!$G$6:$G$405,B7)</x:f>
        <x:v>0</x:v>
      </x:c>
      <x:c r="H7" s="18" t="n">
        <x:f>G7/C7</x:f>
        <x:v>0</x:v>
      </x:c>
    </x:row>
    <x:row r="8" ht="23" customHeight="1">
      <x:c r="A8" s="2" t="str">
        <x:v>自动评审01</x:v>
      </x:c>
      <x:c r="B8" s="2" t="str">
        <x:v>B0</x:v>
      </x:c>
      <x:c r="C8" s="16" t="n">
        <x:f>COUNTIFS('逐条评分'!$H$6:$H$405,A8,'逐条评分'!$G$6:$G$405,B8)</x:f>
        <x:v>100</x:v>
      </x:c>
      <x:c r="D8" s="17" t="n">
        <x:f>AVERAGEIFS('逐条评分'!$I$6:$I$405,'逐条评分'!$H$6:$H$405,A8,'逐条评分'!$G$6:$G$405,B8)</x:f>
        <x:v>1.99</x:v>
      </x:c>
      <x:c r="E8" s="17" t="n">
        <x:f>AVERAGEIFS('逐条评分'!$J$6:$J$405,'逐条评分'!$H$6:$H$405,A8,'逐条评分'!$G$6:$G$405,B8)</x:f>
        <x:v>1.99</x:v>
      </x:c>
      <x:c r="F8" s="17" t="n">
        <x:f>AVERAGEIFS('逐条评分'!$K$6:$K$405,'逐条评分'!$H$6:$H$405,A8,'逐条评分'!$G$6:$G$405,B8)</x:f>
        <x:v>4.45</x:v>
      </x:c>
      <x:c r="G8" s="16" t="n">
        <x:f>SUMIFS('逐条评分'!$L$6:$L$405,'逐条评分'!$H$6:$H$405,A8,'逐条评分'!$G$6:$G$405,B8)</x:f>
        <x:v>0</x:v>
      </x:c>
      <x:c r="H8" s="18" t="n">
        <x:f>G8/C8</x:f>
        <x:v>0</x:v>
      </x:c>
    </x:row>
    <x:row r="9" ht="23" customHeight="1">
      <x:c r="A9" s="2" t="str">
        <x:v>自动评审02</x:v>
      </x:c>
      <x:c r="B9" s="2" t="str">
        <x:v>A0</x:v>
      </x:c>
      <x:c r="C9" s="16" t="n">
        <x:f>COUNTIFS('逐条评分'!$H$6:$H$405,A9,'逐条评分'!$G$6:$G$405,B9)</x:f>
        <x:v>100</x:v>
      </x:c>
      <x:c r="D9" s="17" t="n">
        <x:f>AVERAGEIFS('逐条评分'!$I$6:$I$405,'逐条评分'!$H$6:$H$405,A9,'逐条评分'!$G$6:$G$405,B9)</x:f>
        <x:v>2</x:v>
      </x:c>
      <x:c r="E9" s="17" t="n">
        <x:f>AVERAGEIFS('逐条评分'!$J$6:$J$405,'逐条评分'!$H$6:$H$405,A9,'逐条评分'!$G$6:$G$405,B9)</x:f>
        <x:v>2</x:v>
      </x:c>
      <x:c r="F9" s="17" t="n">
        <x:f>AVERAGEIFS('逐条评分'!$K$6:$K$405,'逐条评分'!$H$6:$H$405,A9,'逐条评分'!$G$6:$G$405,B9)</x:f>
        <x:v>4.46</x:v>
      </x:c>
      <x:c r="G9" s="16" t="n">
        <x:f>SUMIFS('逐条评分'!$L$6:$L$405,'逐条评分'!$H$6:$H$405,A9,'逐条评分'!$G$6:$G$405,B9)</x:f>
        <x:v>0</x:v>
      </x:c>
      <x:c r="H9" s="18" t="n">
        <x:f>G9/C9</x:f>
        <x:v>0</x:v>
      </x:c>
    </x:row>
    <x:row r="10" ht="23" customHeight="1">
      <x:c r="A10" s="2" t="str">
        <x:v>自动评审02</x:v>
      </x:c>
      <x:c r="B10" s="2" t="str">
        <x:v>B0</x:v>
      </x:c>
      <x:c r="C10" s="16" t="n">
        <x:f>COUNTIFS('逐条评分'!$H$6:$H$405,A10,'逐条评分'!$G$6:$G$405,B10)</x:f>
        <x:v>100</x:v>
      </x:c>
      <x:c r="D10" s="17" t="n">
        <x:f>AVERAGEIFS('逐条评分'!$I$6:$I$405,'逐条评分'!$H$6:$H$405,A10,'逐条评分'!$G$6:$G$405,B10)</x:f>
        <x:v>2</x:v>
      </x:c>
      <x:c r="E10" s="17" t="n">
        <x:f>AVERAGEIFS('逐条评分'!$J$6:$J$405,'逐条评分'!$H$6:$H$405,A10,'逐条评分'!$G$6:$G$405,B10)</x:f>
        <x:v>2</x:v>
      </x:c>
      <x:c r="F10" s="17" t="n">
        <x:f>AVERAGEIFS('逐条评分'!$K$6:$K$405,'逐条评分'!$H$6:$H$405,A10,'逐条评分'!$G$6:$G$405,B10)</x:f>
        <x:v>4.45</x:v>
      </x:c>
      <x:c r="G10" s="16" t="n">
        <x:f>SUMIFS('逐条评分'!$L$6:$L$405,'逐条评分'!$H$6:$H$405,A10,'逐条评分'!$G$6:$G$405,B10)</x:f>
        <x:v>0</x:v>
      </x:c>
      <x:c r="H10" s="18" t="n">
        <x:f>G10/C10</x:f>
        <x:v>0</x:v>
      </x:c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36" customHeight="1">
      <x:c r="A13" s="10" t="str">
        <x:v>两次评分的一致性</x:v>
      </x:c>
      <x:c r="B13" s="11" t="str">
        <x:v>一致条数</x:v>
      </x:c>
      <x:c r="C13" s="11" t="str">
        <x:v>比较条数</x:v>
      </x:c>
      <x:c r="D13" s="12" t="str">
        <x:v>完全一致率</x:v>
      </x:c>
      <x:c r="E13" s="2"/>
      <x:c r="F13" s="2"/>
      <x:c r="G13" s="2"/>
      <x:c r="H13" s="2"/>
    </x:row>
    <x:row r="14" ht="23" customHeight="1">
      <x:c r="A14" s="2" t="str">
        <x:v>准确性</x:v>
      </x:c>
      <x:c r="B14" s="13" t="n">
        <x:f>COUNTIFS('逐条评分'!$P$6:$P$205,1)</x:f>
        <x:v>199</x:v>
      </x:c>
      <x:c r="C14" s="13" t="n">
        <x:f>COUNTA('逐条评分'!$B$6:$B$205)</x:f>
        <x:v>200</x:v>
      </x:c>
      <x:c r="D14" s="19" t="n">
        <x:f>B14/C14</x:f>
        <x:v>0.995</x:v>
      </x:c>
      <x:c r="E14" s="2"/>
      <x:c r="F14" s="2"/>
      <x:c r="G14" s="2"/>
      <x:c r="H14" s="2"/>
    </x:row>
    <x:row r="15" ht="23" customHeight="1">
      <x:c r="A15" s="2" t="str">
        <x:v>完整性</x:v>
      </x:c>
      <x:c r="B15" s="13" t="n">
        <x:f>COUNTIFS('逐条评分'!$Q$6:$Q$205,1)</x:f>
        <x:v>199</x:v>
      </x:c>
      <x:c r="C15" s="13" t="n">
        <x:f>COUNTA('逐条评分'!$B$6:$B$205)</x:f>
        <x:v>200</x:v>
      </x:c>
      <x:c r="D15" s="19" t="n">
        <x:f>B15/C15</x:f>
        <x:v>0.995</x:v>
      </x:c>
      <x:c r="E15" s="2"/>
      <x:c r="F15" s="2"/>
      <x:c r="G15" s="2"/>
      <x:c r="H15" s="2"/>
    </x:row>
    <x:row r="16" ht="23" customHeight="1">
      <x:c r="A16" s="2" t="str">
        <x:v>流畅度</x:v>
      </x:c>
      <x:c r="B16" s="13" t="n">
        <x:f>COUNTIFS('逐条评分'!$R$6:$R$205,1)</x:f>
        <x:v>200</x:v>
      </x:c>
      <x:c r="C16" s="13" t="n">
        <x:f>COUNTA('逐条评分'!$B$6:$B$205)</x:f>
        <x:v>200</x:v>
      </x:c>
      <x:c r="D16" s="19" t="n">
        <x:f>B16/C16</x:f>
        <x:v>1</x:v>
      </x:c>
      <x:c r="E16" s="2"/>
      <x:c r="F16" s="2"/>
      <x:c r="G16" s="2"/>
      <x:c r="H16" s="2"/>
    </x:row>
    <x:row r="17" ht="23" customHeight="1">
      <x:c r="A17" s="2" t="str">
        <x:v>无依据断言</x:v>
      </x:c>
      <x:c r="B17" s="13" t="n">
        <x:f>COUNTIFS('逐条评分'!$S$6:$S$205,1)</x:f>
        <x:v>200</x:v>
      </x:c>
      <x:c r="C17" s="13" t="n">
        <x:f>COUNTA('逐条评分'!$B$6:$B$205)</x:f>
        <x:v>200</x:v>
      </x:c>
      <x:c r="D17" s="19" t="n">
        <x:f>B17/C17</x:f>
        <x:v>1</x:v>
      </x:c>
      <x:c r="E17" s="2"/>
      <x:c r="F17" s="2"/>
      <x:c r="G17" s="2"/>
      <x:c r="H17" s="2"/>
    </x:row>
    <x:row r="18" ht="23" customHeight="1">
      <x:c r="A18" s="2" t="str">
        <x:v>四项同时一致</x:v>
      </x:c>
      <x:c r="B18" s="13" t="n">
        <x:f>COUNTIFS('逐条评分'!$T$6:$T$205,1)</x:f>
        <x:v>199</x:v>
      </x:c>
      <x:c r="C18" s="13" t="n">
        <x:f>COUNTA('逐条评分'!$B$6:$B$205)</x:f>
        <x:v>200</x:v>
      </x:c>
      <x:c r="D18" s="19" t="n">
        <x:f>B18/C18</x:f>
        <x:v>0.995</x:v>
      </x:c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0" t="str">
        <x:v>100部电影各抽1题，导演、类型、国家、语言各25题。样本用于覆盖性诊断。</x:v>
      </x:c>
      <x:c r="B20" s="20"/>
      <x:c r="C20" s="20"/>
      <x:c r="D20" s="20"/>
      <x:c r="E20" s="20"/>
      <x:c r="F20" s="20"/>
      <x:c r="G20" s="20"/>
      <x:c r="H20" s="20"/>
    </x:row>
    <x:row r="21" ht="23" customHeight="1">
      <x:c r="A21" s="20" t="str">
        <x:v>评分仅依据题目与给定参考，不作完整外部事实核验；不代表中文自由提问表现。</x:v>
      </x:c>
      <x:c r="B21" s="20"/>
      <x:c r="C21" s="20"/>
      <x:c r="D21" s="20"/>
      <x:c r="E21" s="20"/>
      <x:c r="F21" s="20"/>
      <x:c r="G21" s="20"/>
      <x:c r="H21" s="20"/>
    </x:row>
    <x:row r="22" ht="23" customHeight="1">
      <x:c r="A22" s="20" t="str">
        <x:v>来源：Asilences/AI_1_experiment，固定提交 077a18ce165f10cd998dcd1c82f403796aef3559</x:v>
      </x:c>
      <x:c r="B22" s="20"/>
      <x:c r="C22" s="20"/>
      <x:c r="D22" s="20"/>
      <x:c r="E22" s="20"/>
      <x:c r="F22" s="20"/>
      <x:c r="G22" s="20"/>
      <x:c r="H22" s="20"/>
    </x:row>
    <x:row r="23" ht="23" customHeight="1">
      <x:c r="A23" s="20" t="str">
        <x:v>https://github.com/Asilences/AI_1_experiment/blob/077a18ce165f10cd998dcd1c82f403796aef3559/reports/人工评价/5000部电影_20261030/human_evaluation.csv</x:v>
      </x:c>
      <x:c r="B23" s="20"/>
      <x:c r="C23" s="20"/>
      <x:c r="D23" s="20"/>
      <x:c r="E23" s="20"/>
      <x:c r="F23" s="20"/>
      <x:c r="G23" s="20"/>
      <x:c r="H23" s="20"/>
    </x:row>
    <x:row r="24" ht="23" customHeight="1">
      <x:c r="A24" s="20" t="str">
        <x:v>两次原判完整保留，未协商消除分歧；真人评分完成状态未改变。</x:v>
      </x:c>
      <x:c r="B24" s="20"/>
      <x:c r="C24" s="20"/>
      <x:c r="D24" s="20"/>
      <x:c r="E24" s="20"/>
      <x:c r="F24" s="20"/>
      <x:c r="G24" s="20"/>
      <x:c r="H24" s="20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40" hidden="0" customWidth="1"/>
    <x:col min="4" max="4" width="72" hidden="0" customWidth="1"/>
    <x:col min="5" max="5" width="10" hidden="0" customWidth="1"/>
    <x:col min="6" max="6" width="72" hidden="0" customWidth="1"/>
    <x:col min="7" max="7" width="10" hidden="0" customWidth="1"/>
    <x:col min="8" max="8" width="17" hidden="0" customWidth="1"/>
    <x:col min="9" max="9" width="11" hidden="0" customWidth="1"/>
    <x:col min="10" max="10" width="11" hidden="0" customWidth="1"/>
    <x:col min="11" max="11" width="11" hidden="0" customWidth="1"/>
    <x:col min="12" max="12" width="13" hidden="0" customWidth="1"/>
    <x:col min="13" max="13" width="64" hidden="0" customWidth="1"/>
    <x:col min="14" max="14" width="18" hidden="0" customWidth="1"/>
    <x:col min="15" max="15" width="12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匿名答案与自动辅助评分记录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400条评分来自两个gpt-6.1-sol ultra独立上下文；系统在评分完成后解码。前200行与后200行按题目及位置一一配对。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10" t="str">
        <x:v>题序</x:v>
      </x:c>
      <x:c r="B5" s="11" t="str">
        <x:v>问题ID</x:v>
      </x:c>
      <x:c r="C5" s="11" t="str">
        <x:v>问题</x:v>
      </x:c>
      <x:c r="D5" s="11" t="str">
        <x:v>给定参考</x:v>
      </x:c>
      <x:c r="E5" s="11" t="str">
        <x:v>答案位置</x:v>
      </x:c>
      <x:c r="F5" s="11" t="str">
        <x:v>匿名原始答案</x:v>
      </x:c>
      <x:c r="G5" s="11" t="str">
        <x:v>系统
评后解码</x:v>
      </x:c>
      <x:c r="H5" s="11" t="str">
        <x:v>自动评审</x:v>
      </x:c>
      <x:c r="I5" s="11" t="str">
        <x:v>准确性
0–2</x:v>
      </x:c>
      <x:c r="J5" s="11" t="str">
        <x:v>完整性
0–2</x:v>
      </x:c>
      <x:c r="K5" s="11" t="str">
        <x:v>流畅度
1–5</x:v>
      </x:c>
      <x:c r="L5" s="11" t="str">
        <x:v>无依据断言
0–1</x:v>
      </x:c>
      <x:c r="M5" s="11" t="str">
        <x:v>评分依据</x:v>
      </x:c>
      <x:c r="N5" s="11" t="str">
        <x:v>评审模型</x:v>
      </x:c>
      <x:c r="O5" s="11" t="str">
        <x:v>推理强度</x:v>
      </x:c>
      <x:c r="P5" s="11" t="str">
        <x:v>配对准确性
一致为1</x:v>
      </x:c>
      <x:c r="Q5" s="11" t="str">
        <x:v>配对完整性
一致为1</x:v>
      </x:c>
      <x:c r="R5" s="11" t="str">
        <x:v>配对流畅度
一致为1</x:v>
      </x:c>
      <x:c r="S5" s="11" t="str">
        <x:v>配对断言
一致为1</x:v>
      </x:c>
      <x:c r="T5" s="12" t="str">
        <x:v>配对四项
全同为1</x:v>
      </x:c>
    </x:row>
    <x:row r="6" ht="54" customHeight="1">
      <x:c r="A6" s="16" t="n">
        <x:v>1</x:v>
      </x:c>
      <x:c r="B6" s="2" t="str">
        <x:v>Q302490_P136_1</x:v>
      </x:c>
      <x:c r="C6" s="21" t="str">
        <x:v>Which genres does The Mission belong to?</x:v>
      </x:c>
      <x:c r="D6" s="21" t="str">
        <x:v>The Mission belongs to the following genres: drama film and historical film. || The genres of The Mission are drama film and historical film.</x:v>
      </x:c>
      <x:c r="E6" s="16" t="n">
        <x:v>1</x:v>
      </x:c>
      <x:c r="F6" s="21" t="str">
        <x:v>The Mission belongs to the following genres: drama film and historical film.</x:v>
      </x:c>
      <x:c r="G6" s="2" t="str">
        <x:v>B0</x:v>
      </x:c>
      <x:c r="H6" s="2" t="str">
        <x:v>自动评审01</x:v>
      </x:c>
      <x:c r="I6" s="16" t="n">
        <x:v>2</x:v>
      </x:c>
      <x:c r="J6" s="16" t="n">
        <x:v>2</x:v>
      </x:c>
      <x:c r="K6" s="16" t="n">
        <x:v>5</x:v>
      </x:c>
      <x:c r="L6" s="16" t="n">
        <x:v>0</x:v>
      </x:c>
      <x:c r="M6" s="21" t="str">
        <x:v>剧情片和历史片两种类型正确齐全，句子完整自然，无新增断言。</x:v>
      </x:c>
      <x:c r="N6" s="2" t="str">
        <x:v>gpt-6.1-sol</x:v>
      </x:c>
      <x:c r="O6" s="2" t="str">
        <x:v>ultra</x:v>
      </x:c>
      <x:c r="P6" s="16" t="n">
        <x:f>IF(I6=I206,1,0)</x:f>
        <x:v>1</x:v>
      </x:c>
      <x:c r="Q6" s="16" t="n">
        <x:f>IF(J6=J206,1,0)</x:f>
        <x:v>1</x:v>
      </x:c>
      <x:c r="R6" s="16" t="n">
        <x:f>IF(K6=K206,1,0)</x:f>
        <x:v>1</x:v>
      </x:c>
      <x:c r="S6" s="16" t="n">
        <x:f>IF(L6=L206,1,0)</x:f>
        <x:v>1</x:v>
      </x:c>
      <x:c r="T6" s="16" t="n">
        <x:f>IF(SUM(P6:S6)=4,1,0)</x:f>
        <x:v>1</x:v>
      </x:c>
    </x:row>
    <x:row r="7" ht="54" customHeight="1">
      <x:c r="A7" s="16" t="n">
        <x:v>1</x:v>
      </x:c>
      <x:c r="B7" s="2" t="str">
        <x:v>Q302490_P136_1</x:v>
      </x:c>
      <x:c r="C7" s="21" t="str">
        <x:v>Which genres does The Mission belong to?</x:v>
      </x:c>
      <x:c r="D7" s="21" t="str">
        <x:v>The Mission belongs to the following genres: drama film and historical film. || The genres of The Mission are drama film and historical film.</x:v>
      </x:c>
      <x:c r="E7" s="16" t="n">
        <x:v>2</x:v>
      </x:c>
      <x:c r="F7" s="21" t="str">
        <x:v>The Mission belongs to the following genres: drama film and historical film.</x:v>
      </x:c>
      <x:c r="G7" s="2" t="str">
        <x:v>A0</x:v>
      </x:c>
      <x:c r="H7" s="2" t="str">
        <x:v>自动评审01</x:v>
      </x:c>
      <x:c r="I7" s="16" t="n">
        <x:v>2</x:v>
      </x:c>
      <x:c r="J7" s="16" t="n">
        <x:v>2</x:v>
      </x:c>
      <x:c r="K7" s="16" t="n">
        <x:v>5</x:v>
      </x:c>
      <x:c r="L7" s="16" t="n">
        <x:v>0</x:v>
      </x:c>
      <x:c r="M7" s="21" t="str">
        <x:v>列出 drama film 与 historical film，覆盖全部参考类型，列举流畅。</x:v>
      </x:c>
      <x:c r="N7" s="2" t="str">
        <x:v>gpt-6.1-sol</x:v>
      </x:c>
      <x:c r="O7" s="2" t="str">
        <x:v>ultra</x:v>
      </x:c>
      <x:c r="P7" s="16" t="n">
        <x:f>IF(I7=I207,1,0)</x:f>
        <x:v>1</x:v>
      </x:c>
      <x:c r="Q7" s="16" t="n">
        <x:f>IF(J7=J207,1,0)</x:f>
        <x:v>1</x:v>
      </x:c>
      <x:c r="R7" s="16" t="n">
        <x:f>IF(K7=K207,1,0)</x:f>
        <x:v>1</x:v>
      </x:c>
      <x:c r="S7" s="16" t="n">
        <x:f>IF(L7=L207,1,0)</x:f>
        <x:v>1</x:v>
      </x:c>
      <x:c r="T7" s="16" t="n">
        <x:f>IF(SUM(P7:S7)=4,1,0)</x:f>
        <x:v>1</x:v>
      </x:c>
    </x:row>
    <x:row r="8" ht="40" customHeight="1">
      <x:c r="A8" s="16" t="n">
        <x:v>2</x:v>
      </x:c>
      <x:c r="B8" s="2" t="str">
        <x:v>Q208344_P495_2</x:v>
      </x:c>
      <x:c r="C8" s="21" t="str">
        <x:v>Name the countries of origin of Armageddon.</x:v>
      </x:c>
      <x:c r="D8" s="21" t="str">
        <x:v>Armageddon originated in United States. || The countries of origin of Armageddon are United States.</x:v>
      </x:c>
      <x:c r="E8" s="16" t="n">
        <x:v>1</x:v>
      </x:c>
      <x:c r="F8" s="21" t="str">
        <x:v>Armageddon originated in United States.</x:v>
      </x:c>
      <x:c r="G8" s="2" t="str">
        <x:v>A0</x:v>
      </x:c>
      <x:c r="H8" s="2" t="str">
        <x:v>自动评审01</x:v>
      </x:c>
      <x:c r="I8" s="16" t="n">
        <x:v>2</x:v>
      </x:c>
      <x:c r="J8" s="16" t="n">
        <x:v>2</x:v>
      </x:c>
      <x:c r="K8" s="16" t="n">
        <x:v>4</x:v>
      </x:c>
      <x:c r="L8" s="16" t="n">
        <x:v>0</x:v>
      </x:c>
      <x:c r="M8" s="21" t="str">
        <x:v>美国这一产地正确完整；in United States 缺少定冠词 the。</x:v>
      </x:c>
      <x:c r="N8" s="2" t="str">
        <x:v>gpt-6.1-sol</x:v>
      </x:c>
      <x:c r="O8" s="2" t="str">
        <x:v>ultra</x:v>
      </x:c>
      <x:c r="P8" s="16" t="n">
        <x:f>IF(I8=I208,1,0)</x:f>
        <x:v>1</x:v>
      </x:c>
      <x:c r="Q8" s="16" t="n">
        <x:f>IF(J8=J208,1,0)</x:f>
        <x:v>1</x:v>
      </x:c>
      <x:c r="R8" s="16" t="n">
        <x:f>IF(K8=K208,1,0)</x:f>
        <x:v>1</x:v>
      </x:c>
      <x:c r="S8" s="16" t="n">
        <x:f>IF(L8=L208,1,0)</x:f>
        <x:v>1</x:v>
      </x:c>
      <x:c r="T8" s="16" t="n">
        <x:f>IF(SUM(P8:S8)=4,1,0)</x:f>
        <x:v>1</x:v>
      </x:c>
    </x:row>
    <x:row r="9" ht="40" customHeight="1">
      <x:c r="A9" s="16" t="n">
        <x:v>2</x:v>
      </x:c>
      <x:c r="B9" s="2" t="str">
        <x:v>Q208344_P495_2</x:v>
      </x:c>
      <x:c r="C9" s="21" t="str">
        <x:v>Name the countries of origin of Armageddon.</x:v>
      </x:c>
      <x:c r="D9" s="21" t="str">
        <x:v>Armageddon originated in United States. || The countries of origin of Armageddon are United States.</x:v>
      </x:c>
      <x:c r="E9" s="16" t="n">
        <x:v>2</x:v>
      </x:c>
      <x:c r="F9" s="21" t="str">
        <x:v>Armageddon originated in United States.</x:v>
      </x:c>
      <x:c r="G9" s="2" t="str">
        <x:v>B0</x:v>
      </x:c>
      <x:c r="H9" s="2" t="str">
        <x:v>自动评审01</x:v>
      </x:c>
      <x:c r="I9" s="16" t="n">
        <x:v>2</x:v>
      </x:c>
      <x:c r="J9" s="16" t="n">
        <x:v>2</x:v>
      </x:c>
      <x:c r="K9" s="16" t="n">
        <x:v>4</x:v>
      </x:c>
      <x:c r="L9" s="16" t="n">
        <x:v>0</x:v>
      </x:c>
      <x:c r="M9" s="21" t="str">
        <x:v>正确回答 Armageddon 的美国来源；United States 前应加 the。</x:v>
      </x:c>
      <x:c r="N9" s="2" t="str">
        <x:v>gpt-6.1-sol</x:v>
      </x:c>
      <x:c r="O9" s="2" t="str">
        <x:v>ultra</x:v>
      </x:c>
      <x:c r="P9" s="16" t="n">
        <x:f>IF(I9=I209,1,0)</x:f>
        <x:v>1</x:v>
      </x:c>
      <x:c r="Q9" s="16" t="n">
        <x:f>IF(J9=J209,1,0)</x:f>
        <x:v>1</x:v>
      </x:c>
      <x:c r="R9" s="16" t="n">
        <x:f>IF(K9=K209,1,0)</x:f>
        <x:v>1</x:v>
      </x:c>
      <x:c r="S9" s="16" t="n">
        <x:f>IF(L9=L209,1,0)</x:f>
        <x:v>1</x:v>
      </x:c>
      <x:c r="T9" s="16" t="n">
        <x:f>IF(SUM(P9:S9)=4,1,0)</x:f>
        <x:v>1</x:v>
      </x:c>
    </x:row>
    <x:row r="10" ht="40" customHeight="1">
      <x:c r="A10" s="16" t="n">
        <x:v>3</x:v>
      </x:c>
      <x:c r="B10" s="2" t="str">
        <x:v>Q720159_P57_0</x:v>
      </x:c>
      <x:c r="C10" s="21" t="str">
        <x:v>Who directed The Decameron?</x:v>
      </x:c>
      <x:c r="D10" s="21" t="str">
        <x:v>The Decameron was directed by Pier Paolo Pasolini. || The director or directors of The Decameron are Pier Paolo Pasolini.</x:v>
      </x:c>
      <x:c r="E10" s="16" t="n">
        <x:v>1</x:v>
      </x:c>
      <x:c r="F10" s="21" t="str">
        <x:v>The Decameron was directed by Pier Paolo Pasolini.</x:v>
      </x:c>
      <x:c r="G10" s="2" t="str">
        <x:v>A0</x:v>
      </x:c>
      <x:c r="H10" s="2" t="str">
        <x:v>自动评审01</x:v>
      </x:c>
      <x:c r="I10" s="16" t="n">
        <x:v>2</x:v>
      </x:c>
      <x:c r="J10" s="16" t="n">
        <x:v>2</x:v>
      </x:c>
      <x:c r="K10" s="16" t="n">
        <x:v>5</x:v>
      </x:c>
      <x:c r="L10" s="16" t="n">
        <x:v>0</x:v>
      </x:c>
      <x:c r="M10" s="21" t="str">
        <x:v>导演 Pier Paolo Pasolini 与参考一致，所问信息齐全，被动句自然。</x:v>
      </x:c>
      <x:c r="N10" s="2" t="str">
        <x:v>gpt-6.1-sol</x:v>
      </x:c>
      <x:c r="O10" s="2" t="str">
        <x:v>ultra</x:v>
      </x:c>
      <x:c r="P10" s="16" t="n">
        <x:f>IF(I10=I210,1,0)</x:f>
        <x:v>1</x:v>
      </x:c>
      <x:c r="Q10" s="16" t="n">
        <x:f>IF(J10=J210,1,0)</x:f>
        <x:v>1</x:v>
      </x:c>
      <x:c r="R10" s="16" t="n">
        <x:f>IF(K10=K210,1,0)</x:f>
        <x:v>1</x:v>
      </x:c>
      <x:c r="S10" s="16" t="n">
        <x:f>IF(L10=L210,1,0)</x:f>
        <x:v>1</x:v>
      </x:c>
      <x:c r="T10" s="16" t="n">
        <x:f>IF(SUM(P10:S10)=4,1,0)</x:f>
        <x:v>1</x:v>
      </x:c>
    </x:row>
    <x:row r="11" ht="40" customHeight="1">
      <x:c r="A11" s="16" t="n">
        <x:v>3</x:v>
      </x:c>
      <x:c r="B11" s="2" t="str">
        <x:v>Q720159_P57_0</x:v>
      </x:c>
      <x:c r="C11" s="21" t="str">
        <x:v>Who directed The Decameron?</x:v>
      </x:c>
      <x:c r="D11" s="21" t="str">
        <x:v>The Decameron was directed by Pier Paolo Pasolini. || The director or directors of The Decameron are Pier Paolo Pasolini.</x:v>
      </x:c>
      <x:c r="E11" s="16" t="n">
        <x:v>2</x:v>
      </x:c>
      <x:c r="F11" s="21" t="str">
        <x:v>The Decameron was directed by Pier Paolo Pasolini.</x:v>
      </x:c>
      <x:c r="G11" s="2" t="str">
        <x:v>B0</x:v>
      </x:c>
      <x:c r="H11" s="2" t="str">
        <x:v>自动评审01</x:v>
      </x:c>
      <x:c r="I11" s="16" t="n">
        <x:v>2</x:v>
      </x:c>
      <x:c r="J11" s="16" t="n">
        <x:v>2</x:v>
      </x:c>
      <x:c r="K11" s="16" t="n">
        <x:v>5</x:v>
      </x:c>
      <x:c r="L11" s="16" t="n">
        <x:v>0</x:v>
      </x:c>
      <x:c r="M11" s="21" t="str">
        <x:v>正确将 The Decameron 的导演答为 Pier Paolo Pasolini，表达完整，无新增事实。</x:v>
      </x:c>
      <x:c r="N11" s="2" t="str">
        <x:v>gpt-6.1-sol</x:v>
      </x:c>
      <x:c r="O11" s="2" t="str">
        <x:v>ultra</x:v>
      </x:c>
      <x:c r="P11" s="16" t="n">
        <x:f>IF(I11=I211,1,0)</x:f>
        <x:v>1</x:v>
      </x:c>
      <x:c r="Q11" s="16" t="n">
        <x:f>IF(J11=J211,1,0)</x:f>
        <x:v>1</x:v>
      </x:c>
      <x:c r="R11" s="16" t="n">
        <x:f>IF(K11=K211,1,0)</x:f>
        <x:v>1</x:v>
      </x:c>
      <x:c r="S11" s="16" t="n">
        <x:f>IF(L11=L211,1,0)</x:f>
        <x:v>1</x:v>
      </x:c>
      <x:c r="T11" s="16" t="n">
        <x:f>IF(SUM(P11:S11)=4,1,0)</x:f>
        <x:v>1</x:v>
      </x:c>
    </x:row>
    <x:row r="12" ht="40" customHeight="1">
      <x:c r="A12" s="16" t="n">
        <x:v>4</x:v>
      </x:c>
      <x:c r="B12" s="2" t="str">
        <x:v>Q116733128_P364_1</x:v>
      </x:c>
      <x:c r="C12" s="21" t="str">
        <x:v>Which languages was The Pope's Exorcist originally made in?</x:v>
      </x:c>
      <x:c r="D12" s="21" t="str">
        <x:v>The original languages of The Pope's Exorcist are English. || The Pope's Exorcist was originally made in English.</x:v>
      </x:c>
      <x:c r="E12" s="16" t="n">
        <x:v>1</x:v>
      </x:c>
      <x:c r="F12" s="21" t="str">
        <x:v>The original languages of The Pope's Exorcist are English.</x:v>
      </x:c>
      <x:c r="G12" s="2" t="str">
        <x:v>B0</x:v>
      </x:c>
      <x:c r="H12" s="2" t="str">
        <x:v>自动评审01</x:v>
      </x:c>
      <x:c r="I12" s="16" t="n">
        <x:v>2</x:v>
      </x:c>
      <x:c r="J12" s="16" t="n">
        <x:v>2</x:v>
      </x:c>
      <x:c r="K12" s="16" t="n">
        <x:v>4</x:v>
      </x:c>
      <x:c r="L12" s="16" t="n">
        <x:v>0</x:v>
      </x:c>
      <x:c r="M12" s="21" t="str">
        <x:v>原始语言 English 正确完整；仅一门语言却用 languages are，措辞略别扭。</x:v>
      </x:c>
      <x:c r="N12" s="2" t="str">
        <x:v>gpt-6.1-sol</x:v>
      </x:c>
      <x:c r="O12" s="2" t="str">
        <x:v>ultra</x:v>
      </x:c>
      <x:c r="P12" s="16" t="n">
        <x:f>IF(I12=I212,1,0)</x:f>
        <x:v>1</x:v>
      </x:c>
      <x:c r="Q12" s="16" t="n">
        <x:f>IF(J12=J212,1,0)</x:f>
        <x:v>1</x:v>
      </x:c>
      <x:c r="R12" s="16" t="n">
        <x:f>IF(K12=K212,1,0)</x:f>
        <x:v>1</x:v>
      </x:c>
      <x:c r="S12" s="16" t="n">
        <x:f>IF(L12=L212,1,0)</x:f>
        <x:v>1</x:v>
      </x:c>
      <x:c r="T12" s="16" t="n">
        <x:f>IF(SUM(P12:S12)=4,1,0)</x:f>
        <x:v>1</x:v>
      </x:c>
    </x:row>
    <x:row r="13" ht="40" customHeight="1">
      <x:c r="A13" s="16" t="n">
        <x:v>4</x:v>
      </x:c>
      <x:c r="B13" s="2" t="str">
        <x:v>Q116733128_P364_1</x:v>
      </x:c>
      <x:c r="C13" s="21" t="str">
        <x:v>Which languages was The Pope's Exorcist originally made in?</x:v>
      </x:c>
      <x:c r="D13" s="21" t="str">
        <x:v>The original languages of The Pope's Exorcist are English. || The Pope's Exorcist was originally made in English.</x:v>
      </x:c>
      <x:c r="E13" s="16" t="n">
        <x:v>2</x:v>
      </x:c>
      <x:c r="F13" s="21" t="str">
        <x:v>The original languages of The Pope's Exorcist are English.</x:v>
      </x:c>
      <x:c r="G13" s="2" t="str">
        <x:v>A0</x:v>
      </x:c>
      <x:c r="H13" s="2" t="str">
        <x:v>自动评审01</x:v>
      </x:c>
      <x:c r="I13" s="16" t="n">
        <x:v>2</x:v>
      </x:c>
      <x:c r="J13" s="16" t="n">
        <x:v>2</x:v>
      </x:c>
      <x:c r="K13" s="16" t="n">
        <x:v>4</x:v>
      </x:c>
      <x:c r="L13" s="16" t="n">
        <x:v>0</x:v>
      </x:c>
      <x:c r="M13" s="21" t="str">
        <x:v>English 覆盖全部参考语言；单一语言对应复数 languages 的表达略不自然。</x:v>
      </x:c>
      <x:c r="N13" s="2" t="str">
        <x:v>gpt-6.1-sol</x:v>
      </x:c>
      <x:c r="O13" s="2" t="str">
        <x:v>ultra</x:v>
      </x:c>
      <x:c r="P13" s="16" t="n">
        <x:f>IF(I13=I213,1,0)</x:f>
        <x:v>1</x:v>
      </x:c>
      <x:c r="Q13" s="16" t="n">
        <x:f>IF(J13=J213,1,0)</x:f>
        <x:v>1</x:v>
      </x:c>
      <x:c r="R13" s="16" t="n">
        <x:f>IF(K13=K213,1,0)</x:f>
        <x:v>1</x:v>
      </x:c>
      <x:c r="S13" s="16" t="n">
        <x:f>IF(L13=L213,1,0)</x:f>
        <x:v>1</x:v>
      </x:c>
      <x:c r="T13" s="16" t="n">
        <x:f>IF(SUM(P13:S13)=4,1,0)</x:f>
        <x:v>1</x:v>
      </x:c>
    </x:row>
    <x:row r="14" ht="40" customHeight="1">
      <x:c r="A14" s="16" t="n">
        <x:v>5</x:v>
      </x:c>
      <x:c r="B14" s="2" t="str">
        <x:v>Q376807_P57_1</x:v>
      </x:c>
      <x:c r="C14" s="21" t="str">
        <x:v>Who was the director of The Other Guys?</x:v>
      </x:c>
      <x:c r="D14" s="21" t="str">
        <x:v>The Other Guys was directed by Adam McKay. || The director or directors of The Other Guys are Adam McKay.</x:v>
      </x:c>
      <x:c r="E14" s="16" t="n">
        <x:v>1</x:v>
      </x:c>
      <x:c r="F14" s="21" t="str">
        <x:v>The Other Guys was directed by Adam McKay.</x:v>
      </x:c>
      <x:c r="G14" s="2" t="str">
        <x:v>B0</x:v>
      </x:c>
      <x:c r="H14" s="2" t="str">
        <x:v>自动评审01</x:v>
      </x:c>
      <x:c r="I14" s="16" t="n">
        <x:v>2</x:v>
      </x:c>
      <x:c r="J14" s="16" t="n">
        <x:v>2</x:v>
      </x:c>
      <x:c r="K14" s="16" t="n">
        <x:v>5</x:v>
      </x:c>
      <x:c r="L14" s="16" t="n">
        <x:v>0</x:v>
      </x:c>
      <x:c r="M14" s="21" t="str">
        <x:v>正确指出 The Other Guys 由 Adam McKay 执导，信息完整，句子自然。</x:v>
      </x:c>
      <x:c r="N14" s="2" t="str">
        <x:v>gpt-6.1-sol</x:v>
      </x:c>
      <x:c r="O14" s="2" t="str">
        <x:v>ultra</x:v>
      </x:c>
      <x:c r="P14" s="16" t="n">
        <x:f>IF(I14=I214,1,0)</x:f>
        <x:v>1</x:v>
      </x:c>
      <x:c r="Q14" s="16" t="n">
        <x:f>IF(J14=J214,1,0)</x:f>
        <x:v>1</x:v>
      </x:c>
      <x:c r="R14" s="16" t="n">
        <x:f>IF(K14=K214,1,0)</x:f>
        <x:v>1</x:v>
      </x:c>
      <x:c r="S14" s="16" t="n">
        <x:f>IF(L14=L214,1,0)</x:f>
        <x:v>1</x:v>
      </x:c>
      <x:c r="T14" s="16" t="n">
        <x:f>IF(SUM(P14:S14)=4,1,0)</x:f>
        <x:v>1</x:v>
      </x:c>
    </x:row>
    <x:row r="15" ht="40" customHeight="1">
      <x:c r="A15" s="16" t="n">
        <x:v>5</x:v>
      </x:c>
      <x:c r="B15" s="2" t="str">
        <x:v>Q376807_P57_1</x:v>
      </x:c>
      <x:c r="C15" s="21" t="str">
        <x:v>Who was the director of The Other Guys?</x:v>
      </x:c>
      <x:c r="D15" s="21" t="str">
        <x:v>The Other Guys was directed by Adam McKay. || The director or directors of The Other Guys are Adam McKay.</x:v>
      </x:c>
      <x:c r="E15" s="16" t="n">
        <x:v>2</x:v>
      </x:c>
      <x:c r="F15" s="21" t="str">
        <x:v>The Other Guys was directed by Adam McKay.</x:v>
      </x:c>
      <x:c r="G15" s="2" t="str">
        <x:v>A0</x:v>
      </x:c>
      <x:c r="H15" s="2" t="str">
        <x:v>自动评审01</x:v>
      </x:c>
      <x:c r="I15" s="16" t="n">
        <x:v>2</x:v>
      </x:c>
      <x:c r="J15" s="16" t="n">
        <x:v>2</x:v>
      </x:c>
      <x:c r="K15" s="16" t="n">
        <x:v>5</x:v>
      </x:c>
      <x:c r="L15" s="16" t="n">
        <x:v>0</x:v>
      </x:c>
      <x:c r="M15" s="21" t="str">
        <x:v>Adam McKay 与参考导演相符，无遗漏或额外关系；标题作为整体使用 was 恰当。</x:v>
      </x:c>
      <x:c r="N15" s="2" t="str">
        <x:v>gpt-6.1-sol</x:v>
      </x:c>
      <x:c r="O15" s="2" t="str">
        <x:v>ultra</x:v>
      </x:c>
      <x:c r="P15" s="16" t="n">
        <x:f>IF(I15=I215,1,0)</x:f>
        <x:v>1</x:v>
      </x:c>
      <x:c r="Q15" s="16" t="n">
        <x:f>IF(J15=J215,1,0)</x:f>
        <x:v>1</x:v>
      </x:c>
      <x:c r="R15" s="16" t="n">
        <x:f>IF(K15=K215,1,0)</x:f>
        <x:v>1</x:v>
      </x:c>
      <x:c r="S15" s="16" t="n">
        <x:f>IF(L15=L215,1,0)</x:f>
        <x:v>1</x:v>
      </x:c>
      <x:c r="T15" s="16" t="n">
        <x:f>IF(SUM(P15:S15)=4,1,0)</x:f>
        <x:v>1</x:v>
      </x:c>
    </x:row>
    <x:row r="16" ht="54" customHeight="1">
      <x:c r="A16" s="16" t="n">
        <x:v>6</x:v>
      </x:c>
      <x:c r="B16" s="2" t="str">
        <x:v>Q778161_P136_2</x:v>
      </x:c>
      <x:c r="C16" s="21" t="str">
        <x:v>Name the genre or genres of Touch of Evil.</x:v>
      </x:c>
      <x:c r="D16" s="21" t="str">
        <x:v>Touch of Evil belongs to the following genres: drama film, film noir and crime film. || The genres of Touch of Evil are drama film, film noir and crime film.</x:v>
      </x:c>
      <x:c r="E16" s="16" t="n">
        <x:v>1</x:v>
      </x:c>
      <x:c r="F16" s="21" t="str">
        <x:v>Touch of Evil belongs to the following genres: drama film, film noir and crime film.</x:v>
      </x:c>
      <x:c r="G16" s="2" t="str">
        <x:v>A0</x:v>
      </x:c>
      <x:c r="H16" s="2" t="str">
        <x:v>自动评审01</x:v>
      </x:c>
      <x:c r="I16" s="16" t="n">
        <x:v>2</x:v>
      </x:c>
      <x:c r="J16" s="16" t="n">
        <x:v>2</x:v>
      </x:c>
      <x:c r="K16" s="16" t="n">
        <x:v>5</x:v>
      </x:c>
      <x:c r="L16" s="16" t="n">
        <x:v>0</x:v>
      </x:c>
      <x:c r="M16" s="21" t="str">
        <x:v>剧情片、黑色电影和犯罪片三项正确齐全，列举清楚，无新类型。</x:v>
      </x:c>
      <x:c r="N16" s="2" t="str">
        <x:v>gpt-6.1-sol</x:v>
      </x:c>
      <x:c r="O16" s="2" t="str">
        <x:v>ultra</x:v>
      </x:c>
      <x:c r="P16" s="16" t="n">
        <x:f>IF(I16=I216,1,0)</x:f>
        <x:v>1</x:v>
      </x:c>
      <x:c r="Q16" s="16" t="n">
        <x:f>IF(J16=J216,1,0)</x:f>
        <x:v>1</x:v>
      </x:c>
      <x:c r="R16" s="16" t="n">
        <x:f>IF(K16=K216,1,0)</x:f>
        <x:v>1</x:v>
      </x:c>
      <x:c r="S16" s="16" t="n">
        <x:f>IF(L16=L216,1,0)</x:f>
        <x:v>1</x:v>
      </x:c>
      <x:c r="T16" s="16" t="n">
        <x:f>IF(SUM(P16:S16)=4,1,0)</x:f>
        <x:v>1</x:v>
      </x:c>
    </x:row>
    <x:row r="17" ht="54" customHeight="1">
      <x:c r="A17" s="16" t="n">
        <x:v>6</x:v>
      </x:c>
      <x:c r="B17" s="2" t="str">
        <x:v>Q778161_P136_2</x:v>
      </x:c>
      <x:c r="C17" s="21" t="str">
        <x:v>Name the genre or genres of Touch of Evil.</x:v>
      </x:c>
      <x:c r="D17" s="21" t="str">
        <x:v>Touch of Evil belongs to the following genres: drama film, film noir and crime film. || The genres of Touch of Evil are drama film, film noir and crime film.</x:v>
      </x:c>
      <x:c r="E17" s="16" t="n">
        <x:v>2</x:v>
      </x:c>
      <x:c r="F17" s="21" t="str">
        <x:v>Touch of Evil belongs to the following genres: drama film, film noir and crime film.</x:v>
      </x:c>
      <x:c r="G17" s="2" t="str">
        <x:v>B0</x:v>
      </x:c>
      <x:c r="H17" s="2" t="str">
        <x:v>自动评审01</x:v>
      </x:c>
      <x:c r="I17" s="16" t="n">
        <x:v>2</x:v>
      </x:c>
      <x:c r="J17" s="16" t="n">
        <x:v>2</x:v>
      </x:c>
      <x:c r="K17" s="16" t="n">
        <x:v>5</x:v>
      </x:c>
      <x:c r="L17" s="16" t="n">
        <x:v>0</x:v>
      </x:c>
      <x:c r="M17" s="21" t="str">
        <x:v>Touch of Evil 的 drama film、film noir 和 crime film 全部列出，表达流畅。</x:v>
      </x:c>
      <x:c r="N17" s="2" t="str">
        <x:v>gpt-6.1-sol</x:v>
      </x:c>
      <x:c r="O17" s="2" t="str">
        <x:v>ultra</x:v>
      </x:c>
      <x:c r="P17" s="16" t="n">
        <x:f>IF(I17=I217,1,0)</x:f>
        <x:v>1</x:v>
      </x:c>
      <x:c r="Q17" s="16" t="n">
        <x:f>IF(J17=J217,1,0)</x:f>
        <x:v>1</x:v>
      </x:c>
      <x:c r="R17" s="16" t="n">
        <x:f>IF(K17=K217,1,0)</x:f>
        <x:v>1</x:v>
      </x:c>
      <x:c r="S17" s="16" t="n">
        <x:f>IF(L17=L217,1,0)</x:f>
        <x:v>1</x:v>
      </x:c>
      <x:c r="T17" s="16" t="n">
        <x:f>IF(SUM(P17:S17)=4,1,0)</x:f>
        <x:v>1</x:v>
      </x:c>
    </x:row>
    <x:row r="18" ht="40" customHeight="1">
      <x:c r="A18" s="16" t="n">
        <x:v>7</x:v>
      </x:c>
      <x:c r="B18" s="2" t="str">
        <x:v>Q54437950_P364_0</x:v>
      </x:c>
      <x:c r="C18" s="21" t="str">
        <x:v>What is the original language of Maleficent: Mistress of Evil?</x:v>
      </x:c>
      <x:c r="D18" s="21" t="str">
        <x:v>The original languages of Maleficent: Mistress of Evil are English. || Maleficent: Mistress of Evil was originally made in English.</x:v>
      </x:c>
      <x:c r="E18" s="16" t="n">
        <x:v>1</x:v>
      </x:c>
      <x:c r="F18" s="21" t="str">
        <x:v>The original languages of Maleficent: Mistress of Evil are English.</x:v>
      </x:c>
      <x:c r="G18" s="2" t="str">
        <x:v>B0</x:v>
      </x:c>
      <x:c r="H18" s="2" t="str">
        <x:v>自动评审01</x:v>
      </x:c>
      <x:c r="I18" s="16" t="n">
        <x:v>2</x:v>
      </x:c>
      <x:c r="J18" s="16" t="n">
        <x:v>2</x:v>
      </x:c>
      <x:c r="K18" s="16" t="n">
        <x:v>4</x:v>
      </x:c>
      <x:c r="L18" s="16" t="n">
        <x:v>0</x:v>
      </x:c>
      <x:c r="M18" s="21" t="str">
        <x:v>English 是全部参考语言，无遗漏；单项语言配复数 languages are 略生硬。</x:v>
      </x:c>
      <x:c r="N18" s="2" t="str">
        <x:v>gpt-6.1-sol</x:v>
      </x:c>
      <x:c r="O18" s="2" t="str">
        <x:v>ultra</x:v>
      </x:c>
      <x:c r="P18" s="16" t="n">
        <x:f>IF(I18=I218,1,0)</x:f>
        <x:v>1</x:v>
      </x:c>
      <x:c r="Q18" s="16" t="n">
        <x:f>IF(J18=J218,1,0)</x:f>
        <x:v>1</x:v>
      </x:c>
      <x:c r="R18" s="16" t="n">
        <x:f>IF(K18=K218,1,0)</x:f>
        <x:v>1</x:v>
      </x:c>
      <x:c r="S18" s="16" t="n">
        <x:f>IF(L18=L218,1,0)</x:f>
        <x:v>1</x:v>
      </x:c>
      <x:c r="T18" s="16" t="n">
        <x:f>IF(SUM(P18:S18)=4,1,0)</x:f>
        <x:v>1</x:v>
      </x:c>
    </x:row>
    <x:row r="19" ht="40" customHeight="1">
      <x:c r="A19" s="16" t="n">
        <x:v>7</x:v>
      </x:c>
      <x:c r="B19" s="2" t="str">
        <x:v>Q54437950_P364_0</x:v>
      </x:c>
      <x:c r="C19" s="21" t="str">
        <x:v>What is the original language of Maleficent: Mistress of Evil?</x:v>
      </x:c>
      <x:c r="D19" s="21" t="str">
        <x:v>The original languages of Maleficent: Mistress of Evil are English. || Maleficent: Mistress of Evil was originally made in English.</x:v>
      </x:c>
      <x:c r="E19" s="16" t="n">
        <x:v>2</x:v>
      </x:c>
      <x:c r="F19" s="21" t="str">
        <x:v>The original languages of Maleficent: Mistress of Evil are English.</x:v>
      </x:c>
      <x:c r="G19" s="2" t="str">
        <x:v>A0</x:v>
      </x:c>
      <x:c r="H19" s="2" t="str">
        <x:v>自动评审01</x:v>
      </x:c>
      <x:c r="I19" s="16" t="n">
        <x:v>2</x:v>
      </x:c>
      <x:c r="J19" s="16" t="n">
        <x:v>2</x:v>
      </x:c>
      <x:c r="K19" s="16" t="n">
        <x:v>4</x:v>
      </x:c>
      <x:c r="L19" s="16" t="n">
        <x:v>0</x:v>
      </x:c>
      <x:c r="M19" s="21" t="str">
        <x:v>正确给出 Maleficent: Mistress of Evil 的英语原始语言；复数 languages 用于单项稍不自然。</x:v>
      </x:c>
      <x:c r="N19" s="2" t="str">
        <x:v>gpt-6.1-sol</x:v>
      </x:c>
      <x:c r="O19" s="2" t="str">
        <x:v>ultra</x:v>
      </x:c>
      <x:c r="P19" s="16" t="n">
        <x:f>IF(I19=I219,1,0)</x:f>
        <x:v>1</x:v>
      </x:c>
      <x:c r="Q19" s="16" t="n">
        <x:f>IF(J19=J219,1,0)</x:f>
        <x:v>1</x:v>
      </x:c>
      <x:c r="R19" s="16" t="n">
        <x:f>IF(K19=K219,1,0)</x:f>
        <x:v>1</x:v>
      </x:c>
      <x:c r="S19" s="16" t="n">
        <x:f>IF(L19=L219,1,0)</x:f>
        <x:v>1</x:v>
      </x:c>
      <x:c r="T19" s="16" t="n">
        <x:f>IF(SUM(P19:S19)=4,1,0)</x:f>
        <x:v>1</x:v>
      </x:c>
    </x:row>
    <x:row r="20" ht="40" customHeight="1">
      <x:c r="A20" s="16" t="n">
        <x:v>8</x:v>
      </x:c>
      <x:c r="B20" s="2" t="str">
        <x:v>Q423001_P495_1</x:v>
      </x:c>
      <x:c r="C20" s="21" t="str">
        <x:v>What is the country of origin of Sumuru?</x:v>
      </x:c>
      <x:c r="D20" s="21" t="str">
        <x:v>Sumuru originated in United Kingdom and Germany. || The countries of origin of Sumuru are United Kingdom and Germany.</x:v>
      </x:c>
      <x:c r="E20" s="16" t="n">
        <x:v>1</x:v>
      </x:c>
      <x:c r="F20" s="21" t="str">
        <x:v>Sumuru originated in United Kingdom and Germany.</x:v>
      </x:c>
      <x:c r="G20" s="2" t="str">
        <x:v>A0</x:v>
      </x:c>
      <x:c r="H20" s="2" t="str">
        <x:v>自动评审01</x:v>
      </x:c>
      <x:c r="I20" s="16" t="n">
        <x:v>2</x:v>
      </x:c>
      <x:c r="J20" s="16" t="n">
        <x:v>2</x:v>
      </x:c>
      <x:c r="K20" s="16" t="n">
        <x:v>4</x:v>
      </x:c>
      <x:c r="L20" s="16" t="n">
        <x:v>0</x:v>
      </x:c>
      <x:c r="M20" s="21" t="str">
        <x:v>英国和德国两国产地正确齐全；United Kingdom 前缺少 the。</x:v>
      </x:c>
      <x:c r="N20" s="2" t="str">
        <x:v>gpt-6.1-sol</x:v>
      </x:c>
      <x:c r="O20" s="2" t="str">
        <x:v>ultra</x:v>
      </x:c>
      <x:c r="P20" s="16" t="n">
        <x:f>IF(I20=I220,1,0)</x:f>
        <x:v>1</x:v>
      </x:c>
      <x:c r="Q20" s="16" t="n">
        <x:f>IF(J20=J220,1,0)</x:f>
        <x:v>1</x:v>
      </x:c>
      <x:c r="R20" s="16" t="n">
        <x:f>IF(K20=K220,1,0)</x:f>
        <x:v>1</x:v>
      </x:c>
      <x:c r="S20" s="16" t="n">
        <x:f>IF(L20=L220,1,0)</x:f>
        <x:v>1</x:v>
      </x:c>
      <x:c r="T20" s="16" t="n">
        <x:f>IF(SUM(P20:S20)=4,1,0)</x:f>
        <x:v>1</x:v>
      </x:c>
    </x:row>
    <x:row r="21" ht="40" customHeight="1">
      <x:c r="A21" s="16" t="n">
        <x:v>8</x:v>
      </x:c>
      <x:c r="B21" s="2" t="str">
        <x:v>Q423001_P495_1</x:v>
      </x:c>
      <x:c r="C21" s="21" t="str">
        <x:v>What is the country of origin of Sumuru?</x:v>
      </x:c>
      <x:c r="D21" s="21" t="str">
        <x:v>Sumuru originated in United Kingdom and Germany. || The countries of origin of Sumuru are United Kingdom and Germany.</x:v>
      </x:c>
      <x:c r="E21" s="16" t="n">
        <x:v>2</x:v>
      </x:c>
      <x:c r="F21" s="21" t="str">
        <x:v>Sumuru originated in United Kingdom and Germany.</x:v>
      </x:c>
      <x:c r="G21" s="2" t="str">
        <x:v>B0</x:v>
      </x:c>
      <x:c r="H21" s="2" t="str">
        <x:v>自动评审01</x:v>
      </x:c>
      <x:c r="I21" s="16" t="n">
        <x:v>2</x:v>
      </x:c>
      <x:c r="J21" s="16" t="n">
        <x:v>2</x:v>
      </x:c>
      <x:c r="K21" s="16" t="n">
        <x:v>4</x:v>
      </x:c>
      <x:c r="L21" s="16" t="n">
        <x:v>0</x:v>
      </x:c>
      <x:c r="M21" s="21" t="str">
        <x:v>United Kingdom 与 Germany 均符合参考，无新事实；英国国名缺定冠词。</x:v>
      </x:c>
      <x:c r="N21" s="2" t="str">
        <x:v>gpt-6.1-sol</x:v>
      </x:c>
      <x:c r="O21" s="2" t="str">
        <x:v>ultra</x:v>
      </x:c>
      <x:c r="P21" s="16" t="n">
        <x:f>IF(I21=I221,1,0)</x:f>
        <x:v>1</x:v>
      </x:c>
      <x:c r="Q21" s="16" t="n">
        <x:f>IF(J21=J221,1,0)</x:f>
        <x:v>1</x:v>
      </x:c>
      <x:c r="R21" s="16" t="n">
        <x:f>IF(K21=K221,1,0)</x:f>
        <x:v>1</x:v>
      </x:c>
      <x:c r="S21" s="16" t="n">
        <x:f>IF(L21=L221,1,0)</x:f>
        <x:v>1</x:v>
      </x:c>
      <x:c r="T21" s="16" t="n">
        <x:f>IF(SUM(P21:S21)=4,1,0)</x:f>
        <x:v>1</x:v>
      </x:c>
    </x:row>
    <x:row r="22" ht="40" customHeight="1">
      <x:c r="A22" s="16" t="n">
        <x:v>9</x:v>
      </x:c>
      <x:c r="B22" s="2" t="str">
        <x:v>Q488075_P495_1</x:v>
      </x:c>
      <x:c r="C22" s="21" t="str">
        <x:v>What is the country of origin of 301?</x:v>
      </x:c>
      <x:c r="D22" s="21" t="str">
        <x:v>301 originated in South Korea. || The countries of origin of 301 are South Korea.</x:v>
      </x:c>
      <x:c r="E22" s="16" t="n">
        <x:v>1</x:v>
      </x:c>
      <x:c r="F22" s="21" t="str">
        <x:v>301 originated in South Korea.</x:v>
      </x:c>
      <x:c r="G22" s="2" t="str">
        <x:v>A0</x:v>
      </x:c>
      <x:c r="H22" s="2" t="str">
        <x:v>自动评审01</x:v>
      </x:c>
      <x:c r="I22" s="16" t="n">
        <x:v>2</x:v>
      </x:c>
      <x:c r="J22" s="16" t="n">
        <x:v>2</x:v>
      </x:c>
      <x:c r="K22" s="16" t="n">
        <x:v>5</x:v>
      </x:c>
      <x:c r="L22" s="16" t="n">
        <x:v>0</x:v>
      </x:c>
      <x:c r="M22" s="21" t="str">
        <x:v>正确给出 301 的 South Korea 来源，唯一所需实体齐全，英语自然。</x:v>
      </x:c>
      <x:c r="N22" s="2" t="str">
        <x:v>gpt-6.1-sol</x:v>
      </x:c>
      <x:c r="O22" s="2" t="str">
        <x:v>ultra</x:v>
      </x:c>
      <x:c r="P22" s="16" t="n">
        <x:f>IF(I22=I222,1,0)</x:f>
        <x:v>1</x:v>
      </x:c>
      <x:c r="Q22" s="16" t="n">
        <x:f>IF(J22=J222,1,0)</x:f>
        <x:v>1</x:v>
      </x:c>
      <x:c r="R22" s="16" t="n">
        <x:f>IF(K22=K222,1,0)</x:f>
        <x:v>1</x:v>
      </x:c>
      <x:c r="S22" s="16" t="n">
        <x:f>IF(L22=L222,1,0)</x:f>
        <x:v>1</x:v>
      </x:c>
      <x:c r="T22" s="16" t="n">
        <x:f>IF(SUM(P22:S22)=4,1,0)</x:f>
        <x:v>1</x:v>
      </x:c>
    </x:row>
    <x:row r="23" ht="40" customHeight="1">
      <x:c r="A23" s="16" t="n">
        <x:v>9</x:v>
      </x:c>
      <x:c r="B23" s="2" t="str">
        <x:v>Q488075_P495_1</x:v>
      </x:c>
      <x:c r="C23" s="21" t="str">
        <x:v>What is the country of origin of 301?</x:v>
      </x:c>
      <x:c r="D23" s="21" t="str">
        <x:v>301 originated in South Korea. || The countries of origin of 301 are South Korea.</x:v>
      </x:c>
      <x:c r="E23" s="16" t="n">
        <x:v>2</x:v>
      </x:c>
      <x:c r="F23" s="21" t="str">
        <x:v>301 originated in South Korea.</x:v>
      </x:c>
      <x:c r="G23" s="2" t="str">
        <x:v>B0</x:v>
      </x:c>
      <x:c r="H23" s="2" t="str">
        <x:v>自动评审01</x:v>
      </x:c>
      <x:c r="I23" s="16" t="n">
        <x:v>2</x:v>
      </x:c>
      <x:c r="J23" s="16" t="n">
        <x:v>2</x:v>
      </x:c>
      <x:c r="K23" s="16" t="n">
        <x:v>5</x:v>
      </x:c>
      <x:c r="L23" s="16" t="n">
        <x:v>0</x:v>
      </x:c>
      <x:c r="M23" s="21" t="str">
        <x:v>韩国这一产地与参考吻合，未扩展其他国家；完整句表达清楚。</x:v>
      </x:c>
      <x:c r="N23" s="2" t="str">
        <x:v>gpt-6.1-sol</x:v>
      </x:c>
      <x:c r="O23" s="2" t="str">
        <x:v>ultra</x:v>
      </x:c>
      <x:c r="P23" s="16" t="n">
        <x:f>IF(I23=I223,1,0)</x:f>
        <x:v>1</x:v>
      </x:c>
      <x:c r="Q23" s="16" t="n">
        <x:f>IF(J23=J223,1,0)</x:f>
        <x:v>1</x:v>
      </x:c>
      <x:c r="R23" s="16" t="n">
        <x:f>IF(K23=K223,1,0)</x:f>
        <x:v>1</x:v>
      </x:c>
      <x:c r="S23" s="16" t="n">
        <x:f>IF(L23=L223,1,0)</x:f>
        <x:v>1</x:v>
      </x:c>
      <x:c r="T23" s="16" t="n">
        <x:f>IF(SUM(P23:S23)=4,1,0)</x:f>
        <x:v>1</x:v>
      </x:c>
    </x:row>
    <x:row r="24" ht="40" customHeight="1">
      <x:c r="A24" s="16" t="n">
        <x:v>10</x:v>
      </x:c>
      <x:c r="B24" s="2" t="str">
        <x:v>Q282781_P57_0</x:v>
      </x:c>
      <x:c r="C24" s="21" t="str">
        <x:v>Who directed Elite Squad?</x:v>
      </x:c>
      <x:c r="D24" s="21" t="str">
        <x:v>Elite Squad was directed by José Padilha. || The director or directors of Elite Squad are José Padilha.</x:v>
      </x:c>
      <x:c r="E24" s="16" t="n">
        <x:v>1</x:v>
      </x:c>
      <x:c r="F24" s="21" t="str">
        <x:v>Elite Squad was directed by José Padilha.</x:v>
      </x:c>
      <x:c r="G24" s="2" t="str">
        <x:v>A0</x:v>
      </x:c>
      <x:c r="H24" s="2" t="str">
        <x:v>自动评审01</x:v>
      </x:c>
      <x:c r="I24" s="16" t="n">
        <x:v>2</x:v>
      </x:c>
      <x:c r="J24" s="16" t="n">
        <x:v>2</x:v>
      </x:c>
      <x:c r="K24" s="16" t="n">
        <x:v>5</x:v>
      </x:c>
      <x:c r="L24" s="16" t="n">
        <x:v>0</x:v>
      </x:c>
      <x:c r="M24" s="21" t="str">
        <x:v>导演完整给为 José Padilha，与参考人物及执导关系一致；句子完整自然。</x:v>
      </x:c>
      <x:c r="N24" s="2" t="str">
        <x:v>gpt-6.1-sol</x:v>
      </x:c>
      <x:c r="O24" s="2" t="str">
        <x:v>ultra</x:v>
      </x:c>
      <x:c r="P24" s="16" t="n">
        <x:f>IF(I24=I224,1,0)</x:f>
        <x:v>1</x:v>
      </x:c>
      <x:c r="Q24" s="16" t="n">
        <x:f>IF(J24=J224,1,0)</x:f>
        <x:v>1</x:v>
      </x:c>
      <x:c r="R24" s="16" t="n">
        <x:f>IF(K24=K224,1,0)</x:f>
        <x:v>1</x:v>
      </x:c>
      <x:c r="S24" s="16" t="n">
        <x:f>IF(L24=L224,1,0)</x:f>
        <x:v>1</x:v>
      </x:c>
      <x:c r="T24" s="16" t="n">
        <x:f>IF(SUM(P24:S24)=4,1,0)</x:f>
        <x:v>1</x:v>
      </x:c>
    </x:row>
    <x:row r="25" ht="40" customHeight="1">
      <x:c r="A25" s="16" t="n">
        <x:v>10</x:v>
      </x:c>
      <x:c r="B25" s="2" t="str">
        <x:v>Q282781_P57_0</x:v>
      </x:c>
      <x:c r="C25" s="21" t="str">
        <x:v>Who directed Elite Squad?</x:v>
      </x:c>
      <x:c r="D25" s="21" t="str">
        <x:v>Elite Squad was directed by José Padilha. || The director or directors of Elite Squad are José Padilha.</x:v>
      </x:c>
      <x:c r="E25" s="16" t="n">
        <x:v>2</x:v>
      </x:c>
      <x:c r="F25" s="21" t="str">
        <x:v>Elite Squad was directed by José Padilha.</x:v>
      </x:c>
      <x:c r="G25" s="2" t="str">
        <x:v>B0</x:v>
      </x:c>
      <x:c r="H25" s="2" t="str">
        <x:v>自动评审01</x:v>
      </x:c>
      <x:c r="I25" s="16" t="n">
        <x:v>2</x:v>
      </x:c>
      <x:c r="J25" s="16" t="n">
        <x:v>2</x:v>
      </x:c>
      <x:c r="K25" s="16" t="n">
        <x:v>5</x:v>
      </x:c>
      <x:c r="L25" s="16" t="n">
        <x:v>0</x:v>
      </x:c>
      <x:c r="M25" s="21" t="str">
        <x:v>Elite Squad 由 José Padilha 执导，所问信息正确齐全；姓名重音符号不影响流畅度。</x:v>
      </x:c>
      <x:c r="N25" s="2" t="str">
        <x:v>gpt-6.1-sol</x:v>
      </x:c>
      <x:c r="O25" s="2" t="str">
        <x:v>ultra</x:v>
      </x:c>
      <x:c r="P25" s="16" t="n">
        <x:f>IF(I25=I225,1,0)</x:f>
        <x:v>1</x:v>
      </x:c>
      <x:c r="Q25" s="16" t="n">
        <x:f>IF(J25=J225,1,0)</x:f>
        <x:v>1</x:v>
      </x:c>
      <x:c r="R25" s="16" t="n">
        <x:f>IF(K25=K225,1,0)</x:f>
        <x:v>1</x:v>
      </x:c>
      <x:c r="S25" s="16" t="n">
        <x:f>IF(L25=L225,1,0)</x:f>
        <x:v>1</x:v>
      </x:c>
      <x:c r="T25" s="16" t="n">
        <x:f>IF(SUM(P25:S25)=4,1,0)</x:f>
        <x:v>1</x:v>
      </x:c>
    </x:row>
    <x:row r="26" ht="40" customHeight="1">
      <x:c r="A26" s="16" t="n">
        <x:v>11</x:v>
      </x:c>
      <x:c r="B26" s="2" t="str">
        <x:v>Q4739_P364_0</x:v>
      </x:c>
      <x:c r="C26" s="21" t="str">
        <x:v>What is the original language of The Oranges?</x:v>
      </x:c>
      <x:c r="D26" s="21" t="str">
        <x:v>The original languages of The Oranges are English. || The Oranges was originally made in English.</x:v>
      </x:c>
      <x:c r="E26" s="16" t="n">
        <x:v>1</x:v>
      </x:c>
      <x:c r="F26" s="21" t="str">
        <x:v>The original languages of The Oranges are English.</x:v>
      </x:c>
      <x:c r="G26" s="2" t="str">
        <x:v>B0</x:v>
      </x:c>
      <x:c r="H26" s="2" t="str">
        <x:v>自动评审01</x:v>
      </x:c>
      <x:c r="I26" s="16" t="n">
        <x:v>2</x:v>
      </x:c>
      <x:c r="J26" s="16" t="n">
        <x:v>2</x:v>
      </x:c>
      <x:c r="K26" s="16" t="n">
        <x:v>4</x:v>
      </x:c>
      <x:c r="L26" s="16" t="n">
        <x:v>0</x:v>
      </x:c>
      <x:c r="M26" s="21" t="str">
        <x:v>English 正确完整；仅一门语言却写 original languages are，单复数措辞稍不自然。</x:v>
      </x:c>
      <x:c r="N26" s="2" t="str">
        <x:v>gpt-6.1-sol</x:v>
      </x:c>
      <x:c r="O26" s="2" t="str">
        <x:v>ultra</x:v>
      </x:c>
      <x:c r="P26" s="16" t="n">
        <x:f>IF(I26=I226,1,0)</x:f>
        <x:v>1</x:v>
      </x:c>
      <x:c r="Q26" s="16" t="n">
        <x:f>IF(J26=J226,1,0)</x:f>
        <x:v>1</x:v>
      </x:c>
      <x:c r="R26" s="16" t="n">
        <x:f>IF(K26=K226,1,0)</x:f>
        <x:v>1</x:v>
      </x:c>
      <x:c r="S26" s="16" t="n">
        <x:f>IF(L26=L226,1,0)</x:f>
        <x:v>1</x:v>
      </x:c>
      <x:c r="T26" s="16" t="n">
        <x:f>IF(SUM(P26:S26)=4,1,0)</x:f>
        <x:v>1</x:v>
      </x:c>
    </x:row>
    <x:row r="27" ht="40" customHeight="1">
      <x:c r="A27" s="16" t="n">
        <x:v>11</x:v>
      </x:c>
      <x:c r="B27" s="2" t="str">
        <x:v>Q4739_P364_0</x:v>
      </x:c>
      <x:c r="C27" s="21" t="str">
        <x:v>What is the original language of The Oranges?</x:v>
      </x:c>
      <x:c r="D27" s="21" t="str">
        <x:v>The original languages of The Oranges are English. || The Oranges was originally made in English.</x:v>
      </x:c>
      <x:c r="E27" s="16" t="n">
        <x:v>2</x:v>
      </x:c>
      <x:c r="F27" s="21" t="str">
        <x:v>The original languages of The Oranges are English.</x:v>
      </x:c>
      <x:c r="G27" s="2" t="str">
        <x:v>A0</x:v>
      </x:c>
      <x:c r="H27" s="2" t="str">
        <x:v>自动评审01</x:v>
      </x:c>
      <x:c r="I27" s="16" t="n">
        <x:v>2</x:v>
      </x:c>
      <x:c r="J27" s="16" t="n">
        <x:v>2</x:v>
      </x:c>
      <x:c r="K27" s="16" t="n">
        <x:v>4</x:v>
      </x:c>
      <x:c r="L27" s="16" t="n">
        <x:v>0</x:v>
      </x:c>
      <x:c r="M27" s="21" t="str">
        <x:v>The Oranges 的英语语言信息符合参考；复数 languages 对单项 English 略生硬。</x:v>
      </x:c>
      <x:c r="N27" s="2" t="str">
        <x:v>gpt-6.1-sol</x:v>
      </x:c>
      <x:c r="O27" s="2" t="str">
        <x:v>ultra</x:v>
      </x:c>
      <x:c r="P27" s="16" t="n">
        <x:f>IF(I27=I227,1,0)</x:f>
        <x:v>1</x:v>
      </x:c>
      <x:c r="Q27" s="16" t="n">
        <x:f>IF(J27=J227,1,0)</x:f>
        <x:v>1</x:v>
      </x:c>
      <x:c r="R27" s="16" t="n">
        <x:f>IF(K27=K227,1,0)</x:f>
        <x:v>1</x:v>
      </x:c>
      <x:c r="S27" s="16" t="n">
        <x:f>IF(L27=L227,1,0)</x:f>
        <x:v>1</x:v>
      </x:c>
      <x:c r="T27" s="16" t="n">
        <x:f>IF(SUM(P27:S27)=4,1,0)</x:f>
        <x:v>1</x:v>
      </x:c>
    </x:row>
    <x:row r="28" ht="40" customHeight="1">
      <x:c r="A28" s="16" t="n">
        <x:v>12</x:v>
      </x:c>
      <x:c r="B28" s="2" t="str">
        <x:v>Q16970789_P495_1</x:v>
      </x:c>
      <x:c r="C28" s="21" t="str">
        <x:v>What is the country of origin of American Sniper?</x:v>
      </x:c>
      <x:c r="D28" s="21" t="str">
        <x:v>American Sniper originated in United States. || The countries of origin of American Sniper are United States.</x:v>
      </x:c>
      <x:c r="E28" s="16" t="n">
        <x:v>1</x:v>
      </x:c>
      <x:c r="F28" s="21" t="str">
        <x:v>American Sniper originated in United States.</x:v>
      </x:c>
      <x:c r="G28" s="2" t="str">
        <x:v>A0</x:v>
      </x:c>
      <x:c r="H28" s="2" t="str">
        <x:v>自动评审01</x:v>
      </x:c>
      <x:c r="I28" s="16" t="n">
        <x:v>2</x:v>
      </x:c>
      <x:c r="J28" s="16" t="n">
        <x:v>2</x:v>
      </x:c>
      <x:c r="K28" s="16" t="n">
        <x:v>4</x:v>
      </x:c>
      <x:c r="L28" s="16" t="n">
        <x:v>0</x:v>
      </x:c>
      <x:c r="M28" s="21" t="str">
        <x:v>American Sniper 的美国来源正确齐全；United States 前漏了 the。</x:v>
      </x:c>
      <x:c r="N28" s="2" t="str">
        <x:v>gpt-6.1-sol</x:v>
      </x:c>
      <x:c r="O28" s="2" t="str">
        <x:v>ultra</x:v>
      </x:c>
      <x:c r="P28" s="16" t="n">
        <x:f>IF(I28=I228,1,0)</x:f>
        <x:v>1</x:v>
      </x:c>
      <x:c r="Q28" s="16" t="n">
        <x:f>IF(J28=J228,1,0)</x:f>
        <x:v>1</x:v>
      </x:c>
      <x:c r="R28" s="16" t="n">
        <x:f>IF(K28=K228,1,0)</x:f>
        <x:v>1</x:v>
      </x:c>
      <x:c r="S28" s="16" t="n">
        <x:f>IF(L28=L228,1,0)</x:f>
        <x:v>1</x:v>
      </x:c>
      <x:c r="T28" s="16" t="n">
        <x:f>IF(SUM(P28:S28)=4,1,0)</x:f>
        <x:v>1</x:v>
      </x:c>
    </x:row>
    <x:row r="29" ht="40" customHeight="1">
      <x:c r="A29" s="16" t="n">
        <x:v>12</x:v>
      </x:c>
      <x:c r="B29" s="2" t="str">
        <x:v>Q16970789_P495_1</x:v>
      </x:c>
      <x:c r="C29" s="21" t="str">
        <x:v>What is the country of origin of American Sniper?</x:v>
      </x:c>
      <x:c r="D29" s="21" t="str">
        <x:v>American Sniper originated in United States. || The countries of origin of American Sniper are United States.</x:v>
      </x:c>
      <x:c r="E29" s="16" t="n">
        <x:v>2</x:v>
      </x:c>
      <x:c r="F29" s="21" t="str">
        <x:v>American Sniper originated in United States.</x:v>
      </x:c>
      <x:c r="G29" s="2" t="str">
        <x:v>B0</x:v>
      </x:c>
      <x:c r="H29" s="2" t="str">
        <x:v>自动评审01</x:v>
      </x:c>
      <x:c r="I29" s="16" t="n">
        <x:v>2</x:v>
      </x:c>
      <x:c r="J29" s="16" t="n">
        <x:v>2</x:v>
      </x:c>
      <x:c r="K29" s="16" t="n">
        <x:v>4</x:v>
      </x:c>
      <x:c r="L29" s="16" t="n">
        <x:v>0</x:v>
      </x:c>
      <x:c r="M29" s="21" t="str">
        <x:v>美国为参考唯一产地，回答完整；in United States 缺定冠词但意思明确。</x:v>
      </x:c>
      <x:c r="N29" s="2" t="str">
        <x:v>gpt-6.1-sol</x:v>
      </x:c>
      <x:c r="O29" s="2" t="str">
        <x:v>ultra</x:v>
      </x:c>
      <x:c r="P29" s="16" t="n">
        <x:f>IF(I29=I229,1,0)</x:f>
        <x:v>1</x:v>
      </x:c>
      <x:c r="Q29" s="16" t="n">
        <x:f>IF(J29=J229,1,0)</x:f>
        <x:v>1</x:v>
      </x:c>
      <x:c r="R29" s="16" t="n">
        <x:f>IF(K29=K229,1,0)</x:f>
        <x:v>1</x:v>
      </x:c>
      <x:c r="S29" s="16" t="n">
        <x:f>IF(L29=L229,1,0)</x:f>
        <x:v>1</x:v>
      </x:c>
      <x:c r="T29" s="16" t="n">
        <x:f>IF(SUM(P29:S29)=4,1,0)</x:f>
        <x:v>1</x:v>
      </x:c>
    </x:row>
    <x:row r="30" ht="40" customHeight="1">
      <x:c r="A30" s="16" t="n">
        <x:v>13</x:v>
      </x:c>
      <x:c r="B30" s="2" t="str">
        <x:v>Q55436290_P364_1</x:v>
      </x:c>
      <x:c r="C30" s="21" t="str">
        <x:v>Which languages was Barbie originally made in?</x:v>
      </x:c>
      <x:c r="D30" s="21" t="str">
        <x:v>The original languages of Barbie are English. || Barbie was originally made in English.</x:v>
      </x:c>
      <x:c r="E30" s="16" t="n">
        <x:v>1</x:v>
      </x:c>
      <x:c r="F30" s="21" t="str">
        <x:v>The original languages of Barbie are English.</x:v>
      </x:c>
      <x:c r="G30" s="2" t="str">
        <x:v>B0</x:v>
      </x:c>
      <x:c r="H30" s="2" t="str">
        <x:v>自动评审01</x:v>
      </x:c>
      <x:c r="I30" s="16" t="n">
        <x:v>2</x:v>
      </x:c>
      <x:c r="J30" s="16" t="n">
        <x:v>2</x:v>
      </x:c>
      <x:c r="K30" s="16" t="n">
        <x:v>4</x:v>
      </x:c>
      <x:c r="L30" s="16" t="n">
        <x:v>0</x:v>
      </x:c>
      <x:c r="M30" s="21" t="str">
        <x:v>正确回答 Barbie 的 English 原始语言；单一语言用复数 languages are 略别扭。</x:v>
      </x:c>
      <x:c r="N30" s="2" t="str">
        <x:v>gpt-6.1-sol</x:v>
      </x:c>
      <x:c r="O30" s="2" t="str">
        <x:v>ultra</x:v>
      </x:c>
      <x:c r="P30" s="16" t="n">
        <x:f>IF(I30=I230,1,0)</x:f>
        <x:v>1</x:v>
      </x:c>
      <x:c r="Q30" s="16" t="n">
        <x:f>IF(J30=J230,1,0)</x:f>
        <x:v>1</x:v>
      </x:c>
      <x:c r="R30" s="16" t="n">
        <x:f>IF(K30=K230,1,0)</x:f>
        <x:v>1</x:v>
      </x:c>
      <x:c r="S30" s="16" t="n">
        <x:f>IF(L30=L230,1,0)</x:f>
        <x:v>1</x:v>
      </x:c>
      <x:c r="T30" s="16" t="n">
        <x:f>IF(SUM(P30:S30)=4,1,0)</x:f>
        <x:v>1</x:v>
      </x:c>
    </x:row>
    <x:row r="31" ht="40" customHeight="1">
      <x:c r="A31" s="16" t="n">
        <x:v>13</x:v>
      </x:c>
      <x:c r="B31" s="2" t="str">
        <x:v>Q55436290_P364_1</x:v>
      </x:c>
      <x:c r="C31" s="21" t="str">
        <x:v>Which languages was Barbie originally made in?</x:v>
      </x:c>
      <x:c r="D31" s="21" t="str">
        <x:v>The original languages of Barbie are English. || Barbie was originally made in English.</x:v>
      </x:c>
      <x:c r="E31" s="16" t="n">
        <x:v>2</x:v>
      </x:c>
      <x:c r="F31" s="21" t="str">
        <x:v>The original languages of Barbie are English.</x:v>
      </x:c>
      <x:c r="G31" s="2" t="str">
        <x:v>A0</x:v>
      </x:c>
      <x:c r="H31" s="2" t="str">
        <x:v>自动评审01</x:v>
      </x:c>
      <x:c r="I31" s="16" t="n">
        <x:v>2</x:v>
      </x:c>
      <x:c r="J31" s="16" t="n">
        <x:v>2</x:v>
      </x:c>
      <x:c r="K31" s="16" t="n">
        <x:v>4</x:v>
      </x:c>
      <x:c r="L31" s="16" t="n">
        <x:v>0</x:v>
      </x:c>
      <x:c r="M31" s="21" t="str">
        <x:v>English 覆盖全部所需语言信息，无新事实；复数措辞用于单项不够自然。</x:v>
      </x:c>
      <x:c r="N31" s="2" t="str">
        <x:v>gpt-6.1-sol</x:v>
      </x:c>
      <x:c r="O31" s="2" t="str">
        <x:v>ultra</x:v>
      </x:c>
      <x:c r="P31" s="16" t="n">
        <x:f>IF(I31=I231,1,0)</x:f>
        <x:v>1</x:v>
      </x:c>
      <x:c r="Q31" s="16" t="n">
        <x:f>IF(J31=J231,1,0)</x:f>
        <x:v>1</x:v>
      </x:c>
      <x:c r="R31" s="16" t="n">
        <x:f>IF(K31=K231,1,0)</x:f>
        <x:v>1</x:v>
      </x:c>
      <x:c r="S31" s="16" t="n">
        <x:f>IF(L31=L231,1,0)</x:f>
        <x:v>1</x:v>
      </x:c>
      <x:c r="T31" s="16" t="n">
        <x:f>IF(SUM(P31:S31)=4,1,0)</x:f>
        <x:v>1</x:v>
      </x:c>
    </x:row>
    <x:row r="32" ht="54" customHeight="1">
      <x:c r="A32" s="16" t="n">
        <x:v>14</x:v>
      </x:c>
      <x:c r="B32" s="2" t="str">
        <x:v>Q602522_P136_0</x:v>
      </x:c>
      <x:c r="C32" s="21" t="str">
        <x:v>What genre is The Eiger Sanction?</x:v>
      </x:c>
      <x:c r="D32" s="21" t="str">
        <x:v>The Eiger Sanction belongs to the following genres: action film and thriller film. || The genres of The Eiger Sanction are action film and thriller film.</x:v>
      </x:c>
      <x:c r="E32" s="16" t="n">
        <x:v>1</x:v>
      </x:c>
      <x:c r="F32" s="21" t="str">
        <x:v>The Eiger Sanction belongs to the following genres: action film and thriller film.</x:v>
      </x:c>
      <x:c r="G32" s="2" t="str">
        <x:v>B0</x:v>
      </x:c>
      <x:c r="H32" s="2" t="str">
        <x:v>自动评审01</x:v>
      </x:c>
      <x:c r="I32" s="16" t="n">
        <x:v>2</x:v>
      </x:c>
      <x:c r="J32" s="16" t="n">
        <x:v>2</x:v>
      </x:c>
      <x:c r="K32" s="16" t="n">
        <x:v>5</x:v>
      </x:c>
      <x:c r="L32" s="16" t="n">
        <x:v>0</x:v>
      </x:c>
      <x:c r="M32" s="21" t="str">
        <x:v>动作片与惊悚片两项正确完整，并列结构自然，无额外类型。</x:v>
      </x:c>
      <x:c r="N32" s="2" t="str">
        <x:v>gpt-6.1-sol</x:v>
      </x:c>
      <x:c r="O32" s="2" t="str">
        <x:v>ultra</x:v>
      </x:c>
      <x:c r="P32" s="16" t="n">
        <x:f>IF(I32=I232,1,0)</x:f>
        <x:v>1</x:v>
      </x:c>
      <x:c r="Q32" s="16" t="n">
        <x:f>IF(J32=J232,1,0)</x:f>
        <x:v>1</x:v>
      </x:c>
      <x:c r="R32" s="16" t="n">
        <x:f>IF(K32=K232,1,0)</x:f>
        <x:v>1</x:v>
      </x:c>
      <x:c r="S32" s="16" t="n">
        <x:f>IF(L32=L232,1,0)</x:f>
        <x:v>1</x:v>
      </x:c>
      <x:c r="T32" s="16" t="n">
        <x:f>IF(SUM(P32:S32)=4,1,0)</x:f>
        <x:v>1</x:v>
      </x:c>
    </x:row>
    <x:row r="33" ht="54" customHeight="1">
      <x:c r="A33" s="16" t="n">
        <x:v>14</x:v>
      </x:c>
      <x:c r="B33" s="2" t="str">
        <x:v>Q602522_P136_0</x:v>
      </x:c>
      <x:c r="C33" s="21" t="str">
        <x:v>What genre is The Eiger Sanction?</x:v>
      </x:c>
      <x:c r="D33" s="21" t="str">
        <x:v>The Eiger Sanction belongs to the following genres: action film and thriller film. || The genres of The Eiger Sanction are action film and thriller film.</x:v>
      </x:c>
      <x:c r="E33" s="16" t="n">
        <x:v>2</x:v>
      </x:c>
      <x:c r="F33" s="21" t="str">
        <x:v>The Eiger Sanction belongs to the following genres: action film and thriller film.</x:v>
      </x:c>
      <x:c r="G33" s="2" t="str">
        <x:v>A0</x:v>
      </x:c>
      <x:c r="H33" s="2" t="str">
        <x:v>自动评审01</x:v>
      </x:c>
      <x:c r="I33" s="16" t="n">
        <x:v>2</x:v>
      </x:c>
      <x:c r="J33" s="16" t="n">
        <x:v>2</x:v>
      </x:c>
      <x:c r="K33" s="16" t="n">
        <x:v>5</x:v>
      </x:c>
      <x:c r="L33" s="16" t="n">
        <x:v>0</x:v>
      </x:c>
      <x:c r="M33" s="21" t="str">
        <x:v>action film 和 thriller film 均有参考支持，电影关系及完整性无误，表达流畅。</x:v>
      </x:c>
      <x:c r="N33" s="2" t="str">
        <x:v>gpt-6.1-sol</x:v>
      </x:c>
      <x:c r="O33" s="2" t="str">
        <x:v>ultra</x:v>
      </x:c>
      <x:c r="P33" s="16" t="n">
        <x:f>IF(I33=I233,1,0)</x:f>
        <x:v>1</x:v>
      </x:c>
      <x:c r="Q33" s="16" t="n">
        <x:f>IF(J33=J233,1,0)</x:f>
        <x:v>1</x:v>
      </x:c>
      <x:c r="R33" s="16" t="n">
        <x:f>IF(K33=K233,1,0)</x:f>
        <x:v>1</x:v>
      </x:c>
      <x:c r="S33" s="16" t="n">
        <x:f>IF(L33=L233,1,0)</x:f>
        <x:v>1</x:v>
      </x:c>
      <x:c r="T33" s="16" t="n">
        <x:f>IF(SUM(P33:S33)=4,1,0)</x:f>
        <x:v>1</x:v>
      </x:c>
    </x:row>
    <x:row r="34" ht="54" customHeight="1">
      <x:c r="A34" s="16" t="n">
        <x:v>15</x:v>
      </x:c>
      <x:c r="B34" s="2" t="str">
        <x:v>Q635632_P136_1</x:v>
      </x:c>
      <x:c r="C34" s="21" t="str">
        <x:v>Which genres does Ocean's Thirteen belong to?</x:v>
      </x:c>
      <x:c r="D34" s="21" t="str">
        <x:v>Ocean's Thirteen belongs to the following genres: comedy film, action film and heist film. || The genres of Ocean's Thirteen are comedy film, action film and heist film.</x:v>
      </x:c>
      <x:c r="E34" s="16" t="n">
        <x:v>1</x:v>
      </x:c>
      <x:c r="F34" s="21" t="str">
        <x:v>Ocean's Thirteen belongs to the following genres: comedy film, action film and heist film.</x:v>
      </x:c>
      <x:c r="G34" s="2" t="str">
        <x:v>A0</x:v>
      </x:c>
      <x:c r="H34" s="2" t="str">
        <x:v>自动评审01</x:v>
      </x:c>
      <x:c r="I34" s="16" t="n">
        <x:v>2</x:v>
      </x:c>
      <x:c r="J34" s="16" t="n">
        <x:v>2</x:v>
      </x:c>
      <x:c r="K34" s="16" t="n">
        <x:v>5</x:v>
      </x:c>
      <x:c r="L34" s="16" t="n">
        <x:v>0</x:v>
      </x:c>
      <x:c r="M34" s="21" t="str">
        <x:v>喜剧片、动作片和劫盗片三项完整对应参考，列举句自然。</x:v>
      </x:c>
      <x:c r="N34" s="2" t="str">
        <x:v>gpt-6.1-sol</x:v>
      </x:c>
      <x:c r="O34" s="2" t="str">
        <x:v>ultra</x:v>
      </x:c>
      <x:c r="P34" s="16" t="n">
        <x:f>IF(I34=I234,1,0)</x:f>
        <x:v>1</x:v>
      </x:c>
      <x:c r="Q34" s="16" t="n">
        <x:f>IF(J34=J234,1,0)</x:f>
        <x:v>1</x:v>
      </x:c>
      <x:c r="R34" s="16" t="n">
        <x:f>IF(K34=K234,1,0)</x:f>
        <x:v>1</x:v>
      </x:c>
      <x:c r="S34" s="16" t="n">
        <x:f>IF(L34=L234,1,0)</x:f>
        <x:v>1</x:v>
      </x:c>
      <x:c r="T34" s="16" t="n">
        <x:f>IF(SUM(P34:S34)=4,1,0)</x:f>
        <x:v>1</x:v>
      </x:c>
    </x:row>
    <x:row r="35" ht="54" customHeight="1">
      <x:c r="A35" s="16" t="n">
        <x:v>15</x:v>
      </x:c>
      <x:c r="B35" s="2" t="str">
        <x:v>Q635632_P136_1</x:v>
      </x:c>
      <x:c r="C35" s="21" t="str">
        <x:v>Which genres does Ocean's Thirteen belong to?</x:v>
      </x:c>
      <x:c r="D35" s="21" t="str">
        <x:v>Ocean's Thirteen belongs to the following genres: comedy film, action film and heist film. || The genres of Ocean's Thirteen are comedy film, action film and heist film.</x:v>
      </x:c>
      <x:c r="E35" s="16" t="n">
        <x:v>2</x:v>
      </x:c>
      <x:c r="F35" s="21" t="str">
        <x:v>Ocean's Thirteen belongs to the following genres: comedy film, action film and heist film.</x:v>
      </x:c>
      <x:c r="G35" s="2" t="str">
        <x:v>B0</x:v>
      </x:c>
      <x:c r="H35" s="2" t="str">
        <x:v>自动评审01</x:v>
      </x:c>
      <x:c r="I35" s="16" t="n">
        <x:v>2</x:v>
      </x:c>
      <x:c r="J35" s="16" t="n">
        <x:v>2</x:v>
      </x:c>
      <x:c r="K35" s="16" t="n">
        <x:v>5</x:v>
      </x:c>
      <x:c r="L35" s="16" t="n">
        <x:v>0</x:v>
      </x:c>
      <x:c r="M35" s="21" t="str">
        <x:v>Ocean's Thirteen 的 comedy film、action film、heist film 均列出，内容准确且流畅。</x:v>
      </x:c>
      <x:c r="N35" s="2" t="str">
        <x:v>gpt-6.1-sol</x:v>
      </x:c>
      <x:c r="O35" s="2" t="str">
        <x:v>ultra</x:v>
      </x:c>
      <x:c r="P35" s="16" t="n">
        <x:f>IF(I35=I235,1,0)</x:f>
        <x:v>1</x:v>
      </x:c>
      <x:c r="Q35" s="16" t="n">
        <x:f>IF(J35=J235,1,0)</x:f>
        <x:v>1</x:v>
      </x:c>
      <x:c r="R35" s="16" t="n">
        <x:f>IF(K35=K235,1,0)</x:f>
        <x:v>1</x:v>
      </x:c>
      <x:c r="S35" s="16" t="n">
        <x:f>IF(L35=L235,1,0)</x:f>
        <x:v>1</x:v>
      </x:c>
      <x:c r="T35" s="16" t="n">
        <x:f>IF(SUM(P35:S35)=4,1,0)</x:f>
        <x:v>1</x:v>
      </x:c>
    </x:row>
    <x:row r="36" ht="40" customHeight="1">
      <x:c r="A36" s="16" t="n">
        <x:v>16</x:v>
      </x:c>
      <x:c r="B36" s="2" t="str">
        <x:v>Q1503878_P57_0</x:v>
      </x:c>
      <x:c r="C36" s="21" t="str">
        <x:v>Who directed National Security?</x:v>
      </x:c>
      <x:c r="D36" s="21" t="str">
        <x:v>National Security was directed by Dennis Dugan. || The director or directors of National Security are Dennis Dugan.</x:v>
      </x:c>
      <x:c r="E36" s="16" t="n">
        <x:v>1</x:v>
      </x:c>
      <x:c r="F36" s="21" t="str">
        <x:v>National Security was directed by Dennis Dugan.</x:v>
      </x:c>
      <x:c r="G36" s="2" t="str">
        <x:v>B0</x:v>
      </x:c>
      <x:c r="H36" s="2" t="str">
        <x:v>自动评审01</x:v>
      </x:c>
      <x:c r="I36" s="16" t="n">
        <x:v>2</x:v>
      </x:c>
      <x:c r="J36" s="16" t="n">
        <x:v>2</x:v>
      </x:c>
      <x:c r="K36" s="16" t="n">
        <x:v>5</x:v>
      </x:c>
      <x:c r="L36" s="16" t="n">
        <x:v>0</x:v>
      </x:c>
      <x:c r="M36" s="21" t="str">
        <x:v>National Security 的导演 Dennis Dugan 正确完整，被动句表达自然。</x:v>
      </x:c>
      <x:c r="N36" s="2" t="str">
        <x:v>gpt-6.1-sol</x:v>
      </x:c>
      <x:c r="O36" s="2" t="str">
        <x:v>ultra</x:v>
      </x:c>
      <x:c r="P36" s="16" t="n">
        <x:f>IF(I36=I236,1,0)</x:f>
        <x:v>1</x:v>
      </x:c>
      <x:c r="Q36" s="16" t="n">
        <x:f>IF(J36=J236,1,0)</x:f>
        <x:v>1</x:v>
      </x:c>
      <x:c r="R36" s="16" t="n">
        <x:f>IF(K36=K236,1,0)</x:f>
        <x:v>1</x:v>
      </x:c>
      <x:c r="S36" s="16" t="n">
        <x:f>IF(L36=L236,1,0)</x:f>
        <x:v>1</x:v>
      </x:c>
      <x:c r="T36" s="16" t="n">
        <x:f>IF(SUM(P36:S36)=4,1,0)</x:f>
        <x:v>1</x:v>
      </x:c>
    </x:row>
    <x:row r="37" ht="40" customHeight="1">
      <x:c r="A37" s="16" t="n">
        <x:v>16</x:v>
      </x:c>
      <x:c r="B37" s="2" t="str">
        <x:v>Q1503878_P57_0</x:v>
      </x:c>
      <x:c r="C37" s="21" t="str">
        <x:v>Who directed National Security?</x:v>
      </x:c>
      <x:c r="D37" s="21" t="str">
        <x:v>National Security was directed by Dennis Dugan. || The director or directors of National Security are Dennis Dugan.</x:v>
      </x:c>
      <x:c r="E37" s="16" t="n">
        <x:v>2</x:v>
      </x:c>
      <x:c r="F37" s="21" t="str">
        <x:v>National Security was directed by Dennis Dugan.</x:v>
      </x:c>
      <x:c r="G37" s="2" t="str">
        <x:v>A0</x:v>
      </x:c>
      <x:c r="H37" s="2" t="str">
        <x:v>自动评审01</x:v>
      </x:c>
      <x:c r="I37" s="16" t="n">
        <x:v>2</x:v>
      </x:c>
      <x:c r="J37" s="16" t="n">
        <x:v>2</x:v>
      </x:c>
      <x:c r="K37" s="16" t="n">
        <x:v>5</x:v>
      </x:c>
      <x:c r="L37" s="16" t="n">
        <x:v>0</x:v>
      </x:c>
      <x:c r="M37" s="21" t="str">
        <x:v>Dennis Dugan 与参考导演一致，未增添其他身份或事实，句子清楚。</x:v>
      </x:c>
      <x:c r="N37" s="2" t="str">
        <x:v>gpt-6.1-sol</x:v>
      </x:c>
      <x:c r="O37" s="2" t="str">
        <x:v>ultra</x:v>
      </x:c>
      <x:c r="P37" s="16" t="n">
        <x:f>IF(I37=I237,1,0)</x:f>
        <x:v>1</x:v>
      </x:c>
      <x:c r="Q37" s="16" t="n">
        <x:f>IF(J37=J237,1,0)</x:f>
        <x:v>1</x:v>
      </x:c>
      <x:c r="R37" s="16" t="n">
        <x:f>IF(K37=K237,1,0)</x:f>
        <x:v>1</x:v>
      </x:c>
      <x:c r="S37" s="16" t="n">
        <x:f>IF(L37=L237,1,0)</x:f>
        <x:v>1</x:v>
      </x:c>
      <x:c r="T37" s="16" t="n">
        <x:f>IF(SUM(P37:S37)=4,1,0)</x:f>
        <x:v>1</x:v>
      </x:c>
    </x:row>
    <x:row r="38" ht="54" customHeight="1">
      <x:c r="A38" s="16" t="n">
        <x:v>17</x:v>
      </x:c>
      <x:c r="B38" s="2" t="str">
        <x:v>Q927919_P57_2</x:v>
      </x:c>
      <x:c r="C38" s="21" t="str">
        <x:v>Name the director or directors of The Phantom of the Opera (1925).</x:v>
      </x:c>
      <x:c r="D38" s="21" t="str">
        <x:v>The Phantom of the Opera was directed by Lon Chaney, Edward Sedgwick and Rupert Julian. || The director or directors of The Phantom of the Opera are Lon Chaney, Edward Sedgwick and Rupert Julian.</x:v>
      </x:c>
      <x:c r="E38" s="16" t="n">
        <x:v>1</x:v>
      </x:c>
      <x:c r="F38" s="21" t="str">
        <x:v>The Phantom of the Opera was directed by Lon Chaney, Edward Sedgwick and Rupert Julian.</x:v>
      </x:c>
      <x:c r="G38" s="2" t="str">
        <x:v>B0</x:v>
      </x:c>
      <x:c r="H38" s="2" t="str">
        <x:v>自动评审01</x:v>
      </x:c>
      <x:c r="I38" s="16" t="n">
        <x:v>2</x:v>
      </x:c>
      <x:c r="J38" s="16" t="n">
        <x:v>2</x:v>
      </x:c>
      <x:c r="K38" s="16" t="n">
        <x:v>5</x:v>
      </x:c>
      <x:c r="L38" s="16" t="n">
        <x:v>0</x:v>
      </x:c>
      <x:c r="M38" s="21" t="str">
        <x:v>Lon Chaney、Edward Sedgwick、Rupert Julian 三位导演全部符合参考，并列清楚。</x:v>
      </x:c>
      <x:c r="N38" s="2" t="str">
        <x:v>gpt-6.1-sol</x:v>
      </x:c>
      <x:c r="O38" s="2" t="str">
        <x:v>ultra</x:v>
      </x:c>
      <x:c r="P38" s="16" t="n">
        <x:f>IF(I38=I238,1,0)</x:f>
        <x:v>1</x:v>
      </x:c>
      <x:c r="Q38" s="16" t="n">
        <x:f>IF(J38=J238,1,0)</x:f>
        <x:v>1</x:v>
      </x:c>
      <x:c r="R38" s="16" t="n">
        <x:f>IF(K38=K238,1,0)</x:f>
        <x:v>1</x:v>
      </x:c>
      <x:c r="S38" s="16" t="n">
        <x:f>IF(L38=L238,1,0)</x:f>
        <x:v>1</x:v>
      </x:c>
      <x:c r="T38" s="16" t="n">
        <x:f>IF(SUM(P38:S38)=4,1,0)</x:f>
        <x:v>1</x:v>
      </x:c>
    </x:row>
    <x:row r="39" ht="54" customHeight="1">
      <x:c r="A39" s="16" t="n">
        <x:v>17</x:v>
      </x:c>
      <x:c r="B39" s="2" t="str">
        <x:v>Q927919_P57_2</x:v>
      </x:c>
      <x:c r="C39" s="21" t="str">
        <x:v>Name the director or directors of The Phantom of the Opera (1925).</x:v>
      </x:c>
      <x:c r="D39" s="21" t="str">
        <x:v>The Phantom of the Opera was directed by Lon Chaney, Edward Sedgwick and Rupert Julian. || The director or directors of The Phantom of the Opera are Lon Chaney, Edward Sedgwick and Rupert Julian.</x:v>
      </x:c>
      <x:c r="E39" s="16" t="n">
        <x:v>2</x:v>
      </x:c>
      <x:c r="F39" s="21" t="str">
        <x:v>The Phantom of the Opera was directed by Lon Chaney, Edward Sedgwick and Rupert Julian.</x:v>
      </x:c>
      <x:c r="G39" s="2" t="str">
        <x:v>A0</x:v>
      </x:c>
      <x:c r="H39" s="2" t="str">
        <x:v>自动评审01</x:v>
      </x:c>
      <x:c r="I39" s="16" t="n">
        <x:v>2</x:v>
      </x:c>
      <x:c r="J39" s="16" t="n">
        <x:v>2</x:v>
      </x:c>
      <x:c r="K39" s="16" t="n">
        <x:v>5</x:v>
      </x:c>
      <x:c r="L39" s="16" t="n">
        <x:v>0</x:v>
      </x:c>
      <x:c r="M39" s="21" t="str">
        <x:v>完整给出三位参考导演，电影标题省去年份不影响所问关系，英语自然。</x:v>
      </x:c>
      <x:c r="N39" s="2" t="str">
        <x:v>gpt-6.1-sol</x:v>
      </x:c>
      <x:c r="O39" s="2" t="str">
        <x:v>ultra</x:v>
      </x:c>
      <x:c r="P39" s="16" t="n">
        <x:f>IF(I39=I239,1,0)</x:f>
        <x:v>1</x:v>
      </x:c>
      <x:c r="Q39" s="16" t="n">
        <x:f>IF(J39=J239,1,0)</x:f>
        <x:v>1</x:v>
      </x:c>
      <x:c r="R39" s="16" t="n">
        <x:f>IF(K39=K239,1,0)</x:f>
        <x:v>1</x:v>
      </x:c>
      <x:c r="S39" s="16" t="n">
        <x:f>IF(L39=L239,1,0)</x:f>
        <x:v>1</x:v>
      </x:c>
      <x:c r="T39" s="16" t="n">
        <x:f>IF(SUM(P39:S39)=4,1,0)</x:f>
        <x:v>1</x:v>
      </x:c>
    </x:row>
    <x:row r="40" ht="68" customHeight="1">
      <x:c r="A40" s="16" t="n">
        <x:v>18</x:v>
      </x:c>
      <x:c r="B40" s="2" t="str">
        <x:v>Q369683_P136_2</x:v>
      </x:c>
      <x:c r="C40" s="21" t="str">
        <x:v>Name the genre or genres of Once Upon a Time There Lived a Simple Woman.</x:v>
      </x:c>
      <x:c r="D40" s="21" t="str">
        <x:v>Once Upon a Time There Lived a Simple Woman belongs to the following genres: drama film, war film and historical drama. || The genres of Once Upon a Time There Lived a Simple Woman are drama film, war film and historical drama.</x:v>
      </x:c>
      <x:c r="E40" s="16" t="n">
        <x:v>1</x:v>
      </x:c>
      <x:c r="F40" s="21" t="str">
        <x:v>Once Upon a Time There Lived a Simple Woman belongs to the following genres: drama film, war film and historical drama.</x:v>
      </x:c>
      <x:c r="G40" s="2" t="str">
        <x:v>B0</x:v>
      </x:c>
      <x:c r="H40" s="2" t="str">
        <x:v>自动评审01</x:v>
      </x:c>
      <x:c r="I40" s="16" t="n">
        <x:v>2</x:v>
      </x:c>
      <x:c r="J40" s="16" t="n">
        <x:v>2</x:v>
      </x:c>
      <x:c r="K40" s="16" t="n">
        <x:v>5</x:v>
      </x:c>
      <x:c r="L40" s="16" t="n">
        <x:v>0</x:v>
      </x:c>
      <x:c r="M40" s="21" t="str">
        <x:v>drama film、war film、historical drama 三项正确齐全，长标题未妨碍句意。</x:v>
      </x:c>
      <x:c r="N40" s="2" t="str">
        <x:v>gpt-6.1-sol</x:v>
      </x:c>
      <x:c r="O40" s="2" t="str">
        <x:v>ultra</x:v>
      </x:c>
      <x:c r="P40" s="16" t="n">
        <x:f>IF(I40=I240,1,0)</x:f>
        <x:v>1</x:v>
      </x:c>
      <x:c r="Q40" s="16" t="n">
        <x:f>IF(J40=J240,1,0)</x:f>
        <x:v>1</x:v>
      </x:c>
      <x:c r="R40" s="16" t="n">
        <x:f>IF(K40=K240,1,0)</x:f>
        <x:v>1</x:v>
      </x:c>
      <x:c r="S40" s="16" t="n">
        <x:f>IF(L40=L240,1,0)</x:f>
        <x:v>1</x:v>
      </x:c>
      <x:c r="T40" s="16" t="n">
        <x:f>IF(SUM(P40:S40)=4,1,0)</x:f>
        <x:v>1</x:v>
      </x:c>
    </x:row>
    <x:row r="41" ht="68" customHeight="1">
      <x:c r="A41" s="16" t="n">
        <x:v>18</x:v>
      </x:c>
      <x:c r="B41" s="2" t="str">
        <x:v>Q369683_P136_2</x:v>
      </x:c>
      <x:c r="C41" s="21" t="str">
        <x:v>Name the genre or genres of Once Upon a Time There Lived a Simple Woman.</x:v>
      </x:c>
      <x:c r="D41" s="21" t="str">
        <x:v>Once Upon a Time There Lived a Simple Woman belongs to the following genres: drama film, war film and historical drama. || The genres of Once Upon a Time There Lived a Simple Woman are drama film, war film and historical drama.</x:v>
      </x:c>
      <x:c r="E41" s="16" t="n">
        <x:v>2</x:v>
      </x:c>
      <x:c r="F41" s="21" t="str">
        <x:v>Once Upon a Time There Lived a Simple Woman belongs to the following genres: drama film, war film and historical drama.</x:v>
      </x:c>
      <x:c r="G41" s="2" t="str">
        <x:v>A0</x:v>
      </x:c>
      <x:c r="H41" s="2" t="str">
        <x:v>自动评审01</x:v>
      </x:c>
      <x:c r="I41" s="16" t="n">
        <x:v>2</x:v>
      </x:c>
      <x:c r="J41" s="16" t="n">
        <x:v>2</x:v>
      </x:c>
      <x:c r="K41" s="16" t="n">
        <x:v>5</x:v>
      </x:c>
      <x:c r="L41" s="16" t="n">
        <x:v>0</x:v>
      </x:c>
      <x:c r="M41" s="21" t="str">
        <x:v>剧情片、战争片和历史剧情完整覆盖参考，未加入新类型，表达流畅。</x:v>
      </x:c>
      <x:c r="N41" s="2" t="str">
        <x:v>gpt-6.1-sol</x:v>
      </x:c>
      <x:c r="O41" s="2" t="str">
        <x:v>ultra</x:v>
      </x:c>
      <x:c r="P41" s="16" t="n">
        <x:f>IF(I41=I241,1,0)</x:f>
        <x:v>1</x:v>
      </x:c>
      <x:c r="Q41" s="16" t="n">
        <x:f>IF(J41=J241,1,0)</x:f>
        <x:v>1</x:v>
      </x:c>
      <x:c r="R41" s="16" t="n">
        <x:f>IF(K41=K241,1,0)</x:f>
        <x:v>1</x:v>
      </x:c>
      <x:c r="S41" s="16" t="n">
        <x:f>IF(L41=L241,1,0)</x:f>
        <x:v>1</x:v>
      </x:c>
      <x:c r="T41" s="16" t="n">
        <x:f>IF(SUM(P41:S41)=4,1,0)</x:f>
        <x:v>1</x:v>
      </x:c>
    </x:row>
    <x:row r="42" ht="40" customHeight="1">
      <x:c r="A42" s="16" t="n">
        <x:v>19</x:v>
      </x:c>
      <x:c r="B42" s="2" t="str">
        <x:v>Q116426_P364_0</x:v>
      </x:c>
      <x:c r="C42" s="21" t="str">
        <x:v>What is the original language of De Lift?</x:v>
      </x:c>
      <x:c r="D42" s="21" t="str">
        <x:v>The original languages of De Lift are Dutch. || De Lift was originally made in Dutch.</x:v>
      </x:c>
      <x:c r="E42" s="16" t="n">
        <x:v>1</x:v>
      </x:c>
      <x:c r="F42" s="21" t="str">
        <x:v>The original languages of De Lift are Dutch.</x:v>
      </x:c>
      <x:c r="G42" s="2" t="str">
        <x:v>A0</x:v>
      </x:c>
      <x:c r="H42" s="2" t="str">
        <x:v>自动评审01</x:v>
      </x:c>
      <x:c r="I42" s="16" t="n">
        <x:v>2</x:v>
      </x:c>
      <x:c r="J42" s="16" t="n">
        <x:v>2</x:v>
      </x:c>
      <x:c r="K42" s="16" t="n">
        <x:v>4</x:v>
      </x:c>
      <x:c r="L42" s="16" t="n">
        <x:v>0</x:v>
      </x:c>
      <x:c r="M42" s="21" t="str">
        <x:v>De Lift 的 Dutch 原始语言正确完整；唯一语言配 languages are 略生硬。</x:v>
      </x:c>
      <x:c r="N42" s="2" t="str">
        <x:v>gpt-6.1-sol</x:v>
      </x:c>
      <x:c r="O42" s="2" t="str">
        <x:v>ultra</x:v>
      </x:c>
      <x:c r="P42" s="16" t="n">
        <x:f>IF(I42=I242,1,0)</x:f>
        <x:v>1</x:v>
      </x:c>
      <x:c r="Q42" s="16" t="n">
        <x:f>IF(J42=J242,1,0)</x:f>
        <x:v>1</x:v>
      </x:c>
      <x:c r="R42" s="16" t="n">
        <x:f>IF(K42=K242,1,0)</x:f>
        <x:v>1</x:v>
      </x:c>
      <x:c r="S42" s="16" t="n">
        <x:f>IF(L42=L242,1,0)</x:f>
        <x:v>1</x:v>
      </x:c>
      <x:c r="T42" s="16" t="n">
        <x:f>IF(SUM(P42:S42)=4,1,0)</x:f>
        <x:v>1</x:v>
      </x:c>
    </x:row>
    <x:row r="43" ht="40" customHeight="1">
      <x:c r="A43" s="16" t="n">
        <x:v>19</x:v>
      </x:c>
      <x:c r="B43" s="2" t="str">
        <x:v>Q116426_P364_0</x:v>
      </x:c>
      <x:c r="C43" s="21" t="str">
        <x:v>What is the original language of De Lift?</x:v>
      </x:c>
      <x:c r="D43" s="21" t="str">
        <x:v>The original languages of De Lift are Dutch. || De Lift was originally made in Dutch.</x:v>
      </x:c>
      <x:c r="E43" s="16" t="n">
        <x:v>2</x:v>
      </x:c>
      <x:c r="F43" s="21" t="str">
        <x:v>The original languages of De Lift are Dutch.</x:v>
      </x:c>
      <x:c r="G43" s="2" t="str">
        <x:v>B0</x:v>
      </x:c>
      <x:c r="H43" s="2" t="str">
        <x:v>自动评审01</x:v>
      </x:c>
      <x:c r="I43" s="16" t="n">
        <x:v>2</x:v>
      </x:c>
      <x:c r="J43" s="16" t="n">
        <x:v>2</x:v>
      </x:c>
      <x:c r="K43" s="16" t="n">
        <x:v>4</x:v>
      </x:c>
      <x:c r="L43" s="16" t="n">
        <x:v>0</x:v>
      </x:c>
      <x:c r="M43" s="21" t="str">
        <x:v>Dutch 覆盖全部参考语言事实；单项语言的复数表达有轻微自然度问题。</x:v>
      </x:c>
      <x:c r="N43" s="2" t="str">
        <x:v>gpt-6.1-sol</x:v>
      </x:c>
      <x:c r="O43" s="2" t="str">
        <x:v>ultra</x:v>
      </x:c>
      <x:c r="P43" s="16" t="n">
        <x:f>IF(I43=I243,1,0)</x:f>
        <x:v>1</x:v>
      </x:c>
      <x:c r="Q43" s="16" t="n">
        <x:f>IF(J43=J243,1,0)</x:f>
        <x:v>1</x:v>
      </x:c>
      <x:c r="R43" s="16" t="n">
        <x:f>IF(K43=K243,1,0)</x:f>
        <x:v>1</x:v>
      </x:c>
      <x:c r="S43" s="16" t="n">
        <x:f>IF(L43=L243,1,0)</x:f>
        <x:v>1</x:v>
      </x:c>
      <x:c r="T43" s="16" t="n">
        <x:f>IF(SUM(P43:S43)=4,1,0)</x:f>
        <x:v>1</x:v>
      </x:c>
    </x:row>
    <x:row r="44" ht="54" customHeight="1">
      <x:c r="A44" s="16" t="n">
        <x:v>20</x:v>
      </x:c>
      <x:c r="B44" s="2" t="str">
        <x:v>Q124246470_P495_2</x:v>
      </x:c>
      <x:c r="C44" s="21" t="str">
        <x:v>Name the countries of origin of Karate Kid: Legends.</x:v>
      </x:c>
      <x:c r="D44" s="21" t="str">
        <x:v>Karate Kid: Legends originated in Canada, United States and People's Republic of China. || The countries of origin of Karate Kid: Legends are Canada, United States and People's Republic of China.</x:v>
      </x:c>
      <x:c r="E44" s="16" t="n">
        <x:v>1</x:v>
      </x:c>
      <x:c r="F44" s="21" t="str">
        <x:v>Karate Kid: Legends originated in Canada, United States and People's Republic of China.</x:v>
      </x:c>
      <x:c r="G44" s="2" t="str">
        <x:v>A0</x:v>
      </x:c>
      <x:c r="H44" s="2" t="str">
        <x:v>自动评审01</x:v>
      </x:c>
      <x:c r="I44" s="16" t="n">
        <x:v>2</x:v>
      </x:c>
      <x:c r="J44" s="16" t="n">
        <x:v>2</x:v>
      </x:c>
      <x:c r="K44" s="16" t="n">
        <x:v>4</x:v>
      </x:c>
      <x:c r="L44" s="16" t="n">
        <x:v>0</x:v>
      </x:c>
      <x:c r="M44" s="21" t="str">
        <x:v>加拿大、美国和中华人民共和国三项齐全正确；后两国名前缺定冠词 the。</x:v>
      </x:c>
      <x:c r="N44" s="2" t="str">
        <x:v>gpt-6.1-sol</x:v>
      </x:c>
      <x:c r="O44" s="2" t="str">
        <x:v>ultra</x:v>
      </x:c>
      <x:c r="P44" s="16" t="n">
        <x:f>IF(I44=I244,1,0)</x:f>
        <x:v>1</x:v>
      </x:c>
      <x:c r="Q44" s="16" t="n">
        <x:f>IF(J44=J244,1,0)</x:f>
        <x:v>1</x:v>
      </x:c>
      <x:c r="R44" s="16" t="n">
        <x:f>IF(K44=K244,1,0)</x:f>
        <x:v>1</x:v>
      </x:c>
      <x:c r="S44" s="16" t="n">
        <x:f>IF(L44=L244,1,0)</x:f>
        <x:v>1</x:v>
      </x:c>
      <x:c r="T44" s="16" t="n">
        <x:f>IF(SUM(P44:S44)=4,1,0)</x:f>
        <x:v>1</x:v>
      </x:c>
    </x:row>
    <x:row r="45" ht="54" customHeight="1">
      <x:c r="A45" s="16" t="n">
        <x:v>20</x:v>
      </x:c>
      <x:c r="B45" s="2" t="str">
        <x:v>Q124246470_P495_2</x:v>
      </x:c>
      <x:c r="C45" s="21" t="str">
        <x:v>Name the countries of origin of Karate Kid: Legends.</x:v>
      </x:c>
      <x:c r="D45" s="21" t="str">
        <x:v>Karate Kid: Legends originated in Canada, United States and People's Republic of China. || The countries of origin of Karate Kid: Legends are Canada, United States and People's Republic of China.</x:v>
      </x:c>
      <x:c r="E45" s="16" t="n">
        <x:v>2</x:v>
      </x:c>
      <x:c r="F45" s="21" t="str">
        <x:v>Karate Kid: Legends originated in Canada, United States and People's Republic of China.</x:v>
      </x:c>
      <x:c r="G45" s="2" t="str">
        <x:v>B0</x:v>
      </x:c>
      <x:c r="H45" s="2" t="str">
        <x:v>自动评审01</x:v>
      </x:c>
      <x:c r="I45" s="16" t="n">
        <x:v>2</x:v>
      </x:c>
      <x:c r="J45" s="16" t="n">
        <x:v>2</x:v>
      </x:c>
      <x:c r="K45" s="16" t="n">
        <x:v>4</x:v>
      </x:c>
      <x:c r="L45" s="16" t="n">
        <x:v>0</x:v>
      </x:c>
      <x:c r="M45" s="21" t="str">
        <x:v>Canada、United States、People's Republic of China 全部与参考吻合；后两国名漏 the。</x:v>
      </x:c>
      <x:c r="N45" s="2" t="str">
        <x:v>gpt-6.1-sol</x:v>
      </x:c>
      <x:c r="O45" s="2" t="str">
        <x:v>ultra</x:v>
      </x:c>
      <x:c r="P45" s="16" t="n">
        <x:f>IF(I45=I245,1,0)</x:f>
        <x:v>1</x:v>
      </x:c>
      <x:c r="Q45" s="16" t="n">
        <x:f>IF(J45=J245,1,0)</x:f>
        <x:v>1</x:v>
      </x:c>
      <x:c r="R45" s="16" t="n">
        <x:f>IF(K45=K245,1,0)</x:f>
        <x:v>1</x:v>
      </x:c>
      <x:c r="S45" s="16" t="n">
        <x:f>IF(L45=L245,1,0)</x:f>
        <x:v>1</x:v>
      </x:c>
      <x:c r="T45" s="16" t="n">
        <x:f>IF(SUM(P45:S45)=4,1,0)</x:f>
        <x:v>1</x:v>
      </x:c>
    </x:row>
    <x:row r="46" ht="40" customHeight="1">
      <x:c r="A46" s="16" t="n">
        <x:v>21</x:v>
      </x:c>
      <x:c r="B46" s="2" t="str">
        <x:v>Q1075182_P57_1</x:v>
      </x:c>
      <x:c r="C46" s="21" t="str">
        <x:v>Who was the director of Chloe?</x:v>
      </x:c>
      <x:c r="D46" s="21" t="str">
        <x:v>Chloe was directed by Atom Egoyan. || The director or directors of Chloe are Atom Egoyan.</x:v>
      </x:c>
      <x:c r="E46" s="16" t="n">
        <x:v>1</x:v>
      </x:c>
      <x:c r="F46" s="21" t="str">
        <x:v>Chloe was directed by Atom Egoyan.</x:v>
      </x:c>
      <x:c r="G46" s="2" t="str">
        <x:v>B0</x:v>
      </x:c>
      <x:c r="H46" s="2" t="str">
        <x:v>自动评审01</x:v>
      </x:c>
      <x:c r="I46" s="16" t="n">
        <x:v>2</x:v>
      </x:c>
      <x:c r="J46" s="16" t="n">
        <x:v>2</x:v>
      </x:c>
      <x:c r="K46" s="16" t="n">
        <x:v>5</x:v>
      </x:c>
      <x:c r="L46" s="16" t="n">
        <x:v>0</x:v>
      </x:c>
      <x:c r="M46" s="21" t="str">
        <x:v>Chloe 的导演 Atom Egoyan 与参考一致，完整回答所问人物，句子自然。</x:v>
      </x:c>
      <x:c r="N46" s="2" t="str">
        <x:v>gpt-6.1-sol</x:v>
      </x:c>
      <x:c r="O46" s="2" t="str">
        <x:v>ultra</x:v>
      </x:c>
      <x:c r="P46" s="16" t="n">
        <x:f>IF(I46=I246,1,0)</x:f>
        <x:v>1</x:v>
      </x:c>
      <x:c r="Q46" s="16" t="n">
        <x:f>IF(J46=J246,1,0)</x:f>
        <x:v>1</x:v>
      </x:c>
      <x:c r="R46" s="16" t="n">
        <x:f>IF(K46=K246,1,0)</x:f>
        <x:v>1</x:v>
      </x:c>
      <x:c r="S46" s="16" t="n">
        <x:f>IF(L46=L246,1,0)</x:f>
        <x:v>1</x:v>
      </x:c>
      <x:c r="T46" s="16" t="n">
        <x:f>IF(SUM(P46:S46)=4,1,0)</x:f>
        <x:v>1</x:v>
      </x:c>
    </x:row>
    <x:row r="47" ht="40" customHeight="1">
      <x:c r="A47" s="16" t="n">
        <x:v>21</x:v>
      </x:c>
      <x:c r="B47" s="2" t="str">
        <x:v>Q1075182_P57_1</x:v>
      </x:c>
      <x:c r="C47" s="21" t="str">
        <x:v>Who was the director of Chloe?</x:v>
      </x:c>
      <x:c r="D47" s="21" t="str">
        <x:v>Chloe was directed by Atom Egoyan. || The director or directors of Chloe are Atom Egoyan.</x:v>
      </x:c>
      <x:c r="E47" s="16" t="n">
        <x:v>2</x:v>
      </x:c>
      <x:c r="F47" s="21" t="str">
        <x:v>Chloe was directed by Atom Egoyan.</x:v>
      </x:c>
      <x:c r="G47" s="2" t="str">
        <x:v>A0</x:v>
      </x:c>
      <x:c r="H47" s="2" t="str">
        <x:v>自动评审01</x:v>
      </x:c>
      <x:c r="I47" s="16" t="n">
        <x:v>2</x:v>
      </x:c>
      <x:c r="J47" s="16" t="n">
        <x:v>2</x:v>
      </x:c>
      <x:c r="K47" s="16" t="n">
        <x:v>5</x:v>
      </x:c>
      <x:c r="L47" s="16" t="n">
        <x:v>0</x:v>
      </x:c>
      <x:c r="M47" s="21" t="str">
        <x:v>正确给出 Atom Egoyan 的执导关系，无遗漏或额外事实，被动句流畅。</x:v>
      </x:c>
      <x:c r="N47" s="2" t="str">
        <x:v>gpt-6.1-sol</x:v>
      </x:c>
      <x:c r="O47" s="2" t="str">
        <x:v>ultra</x:v>
      </x:c>
      <x:c r="P47" s="16" t="n">
        <x:f>IF(I47=I247,1,0)</x:f>
        <x:v>1</x:v>
      </x:c>
      <x:c r="Q47" s="16" t="n">
        <x:f>IF(J47=J247,1,0)</x:f>
        <x:v>1</x:v>
      </x:c>
      <x:c r="R47" s="16" t="n">
        <x:f>IF(K47=K247,1,0)</x:f>
        <x:v>1</x:v>
      </x:c>
      <x:c r="S47" s="16" t="n">
        <x:f>IF(L47=L247,1,0)</x:f>
        <x:v>1</x:v>
      </x:c>
      <x:c r="T47" s="16" t="n">
        <x:f>IF(SUM(P47:S47)=4,1,0)</x:f>
        <x:v>1</x:v>
      </x:c>
    </x:row>
    <x:row r="48" ht="54" customHeight="1">
      <x:c r="A48" s="16" t="n">
        <x:v>22</x:v>
      </x:c>
      <x:c r="B48" s="2" t="str">
        <x:v>Q512475_P495_1</x:v>
      </x:c>
      <x:c r="C48" s="21" t="str">
        <x:v>What is the country of origin of Nicholas and Alexandra?</x:v>
      </x:c>
      <x:c r="D48" s="21" t="str">
        <x:v>Nicholas and Alexandra originated in United States and United Kingdom. || The countries of origin of Nicholas and Alexandra are United States and United Kingdom.</x:v>
      </x:c>
      <x:c r="E48" s="16" t="n">
        <x:v>1</x:v>
      </x:c>
      <x:c r="F48" s="21" t="str">
        <x:v>Nicholas and Alexandra originated in United States and United Kingdom.</x:v>
      </x:c>
      <x:c r="G48" s="2" t="str">
        <x:v>A0</x:v>
      </x:c>
      <x:c r="H48" s="2" t="str">
        <x:v>自动评审01</x:v>
      </x:c>
      <x:c r="I48" s="16" t="n">
        <x:v>2</x:v>
      </x:c>
      <x:c r="J48" s="16" t="n">
        <x:v>2</x:v>
      </x:c>
      <x:c r="K48" s="16" t="n">
        <x:v>4</x:v>
      </x:c>
      <x:c r="L48" s="16" t="n">
        <x:v>0</x:v>
      </x:c>
      <x:c r="M48" s="21" t="str">
        <x:v>美国与英国两国产地全部正确；两个国名 United States 和 United Kingdom 前均缺 the。</x:v>
      </x:c>
      <x:c r="N48" s="2" t="str">
        <x:v>gpt-6.1-sol</x:v>
      </x:c>
      <x:c r="O48" s="2" t="str">
        <x:v>ultra</x:v>
      </x:c>
      <x:c r="P48" s="16" t="n">
        <x:f>IF(I48=I248,1,0)</x:f>
        <x:v>1</x:v>
      </x:c>
      <x:c r="Q48" s="16" t="n">
        <x:f>IF(J48=J248,1,0)</x:f>
        <x:v>1</x:v>
      </x:c>
      <x:c r="R48" s="16" t="n">
        <x:f>IF(K48=K248,1,0)</x:f>
        <x:v>1</x:v>
      </x:c>
      <x:c r="S48" s="16" t="n">
        <x:f>IF(L48=L248,1,0)</x:f>
        <x:v>1</x:v>
      </x:c>
      <x:c r="T48" s="16" t="n">
        <x:f>IF(SUM(P48:S48)=4,1,0)</x:f>
        <x:v>1</x:v>
      </x:c>
    </x:row>
    <x:row r="49" ht="54" customHeight="1">
      <x:c r="A49" s="16" t="n">
        <x:v>22</x:v>
      </x:c>
      <x:c r="B49" s="2" t="str">
        <x:v>Q512475_P495_1</x:v>
      </x:c>
      <x:c r="C49" s="21" t="str">
        <x:v>What is the country of origin of Nicholas and Alexandra?</x:v>
      </x:c>
      <x:c r="D49" s="21" t="str">
        <x:v>Nicholas and Alexandra originated in United States and United Kingdom. || The countries of origin of Nicholas and Alexandra are United States and United Kingdom.</x:v>
      </x:c>
      <x:c r="E49" s="16" t="n">
        <x:v>2</x:v>
      </x:c>
      <x:c r="F49" s="21" t="str">
        <x:v>Nicholas and Alexandra originated in United States and United Kingdom.</x:v>
      </x:c>
      <x:c r="G49" s="2" t="str">
        <x:v>B0</x:v>
      </x:c>
      <x:c r="H49" s="2" t="str">
        <x:v>自动评审01</x:v>
      </x:c>
      <x:c r="I49" s="16" t="n">
        <x:v>2</x:v>
      </x:c>
      <x:c r="J49" s="16" t="n">
        <x:v>2</x:v>
      </x:c>
      <x:c r="K49" s="16" t="n">
        <x:v>4</x:v>
      </x:c>
      <x:c r="L49" s="16" t="n">
        <x:v>0</x:v>
      </x:c>
      <x:c r="M49" s="21" t="str">
        <x:v>完整回答 Nicholas and Alexandra 的两国来源，无新事实；国名定冠词缺失。</x:v>
      </x:c>
      <x:c r="N49" s="2" t="str">
        <x:v>gpt-6.1-sol</x:v>
      </x:c>
      <x:c r="O49" s="2" t="str">
        <x:v>ultra</x:v>
      </x:c>
      <x:c r="P49" s="16" t="n">
        <x:f>IF(I49=I249,1,0)</x:f>
        <x:v>1</x:v>
      </x:c>
      <x:c r="Q49" s="16" t="n">
        <x:f>IF(J49=J249,1,0)</x:f>
        <x:v>1</x:v>
      </x:c>
      <x:c r="R49" s="16" t="n">
        <x:f>IF(K49=K249,1,0)</x:f>
        <x:v>1</x:v>
      </x:c>
      <x:c r="S49" s="16" t="n">
        <x:f>IF(L49=L249,1,0)</x:f>
        <x:v>1</x:v>
      </x:c>
      <x:c r="T49" s="16" t="n">
        <x:f>IF(SUM(P49:S49)=4,1,0)</x:f>
        <x:v>1</x:v>
      </x:c>
    </x:row>
    <x:row r="50" ht="54" customHeight="1">
      <x:c r="A50" s="16" t="n">
        <x:v>23</x:v>
      </x:c>
      <x:c r="B50" s="2" t="str">
        <x:v>Q27958314_P136_2</x:v>
      </x:c>
      <x:c r="C50" s="21" t="str">
        <x:v>Name the genre or genres of Who Gets the Dog?.</x:v>
      </x:c>
      <x:c r="D50" s="21" t="str">
        <x:v>Who Gets the Dog? belongs to the following genres: comedy film and romantic comedy. || The genres of Who Gets the Dog? are comedy film and romantic comedy.</x:v>
      </x:c>
      <x:c r="E50" s="16" t="n">
        <x:v>1</x:v>
      </x:c>
      <x:c r="F50" s="21" t="str">
        <x:v>Who Gets the Dog? belongs to the following genres: comedy film and romantic comedy.</x:v>
      </x:c>
      <x:c r="G50" s="2" t="str">
        <x:v>A0</x:v>
      </x:c>
      <x:c r="H50" s="2" t="str">
        <x:v>自动评审01</x:v>
      </x:c>
      <x:c r="I50" s="16" t="n">
        <x:v>2</x:v>
      </x:c>
      <x:c r="J50" s="16" t="n">
        <x:v>2</x:v>
      </x:c>
      <x:c r="K50" s="16" t="n">
        <x:v>5</x:v>
      </x:c>
      <x:c r="L50" s="16" t="n">
        <x:v>0</x:v>
      </x:c>
      <x:c r="M50" s="21" t="str">
        <x:v>喜剧片与浪漫喜剧两项均符合参考，信息齐全；片名自带问号不影响句子理解。</x:v>
      </x:c>
      <x:c r="N50" s="2" t="str">
        <x:v>gpt-6.1-sol</x:v>
      </x:c>
      <x:c r="O50" s="2" t="str">
        <x:v>ultra</x:v>
      </x:c>
      <x:c r="P50" s="16" t="n">
        <x:f>IF(I50=I250,1,0)</x:f>
        <x:v>1</x:v>
      </x:c>
      <x:c r="Q50" s="16" t="n">
        <x:f>IF(J50=J250,1,0)</x:f>
        <x:v>1</x:v>
      </x:c>
      <x:c r="R50" s="16" t="n">
        <x:f>IF(K50=K250,1,0)</x:f>
        <x:v>1</x:v>
      </x:c>
      <x:c r="S50" s="16" t="n">
        <x:f>IF(L50=L250,1,0)</x:f>
        <x:v>1</x:v>
      </x:c>
      <x:c r="T50" s="16" t="n">
        <x:f>IF(SUM(P50:S50)=4,1,0)</x:f>
        <x:v>1</x:v>
      </x:c>
    </x:row>
    <x:row r="51" ht="54" customHeight="1">
      <x:c r="A51" s="16" t="n">
        <x:v>23</x:v>
      </x:c>
      <x:c r="B51" s="2" t="str">
        <x:v>Q27958314_P136_2</x:v>
      </x:c>
      <x:c r="C51" s="21" t="str">
        <x:v>Name the genre or genres of Who Gets the Dog?.</x:v>
      </x:c>
      <x:c r="D51" s="21" t="str">
        <x:v>Who Gets the Dog? belongs to the following genres: comedy film and romantic comedy. || The genres of Who Gets the Dog? are comedy film and romantic comedy.</x:v>
      </x:c>
      <x:c r="E51" s="16" t="n">
        <x:v>2</x:v>
      </x:c>
      <x:c r="F51" s="21" t="str">
        <x:v>Who Gets the Dog? belongs to the following genres: comedy film and romantic comedy.</x:v>
      </x:c>
      <x:c r="G51" s="2" t="str">
        <x:v>B0</x:v>
      </x:c>
      <x:c r="H51" s="2" t="str">
        <x:v>自动评审01</x:v>
      </x:c>
      <x:c r="I51" s="16" t="n">
        <x:v>2</x:v>
      </x:c>
      <x:c r="J51" s="16" t="n">
        <x:v>2</x:v>
      </x:c>
      <x:c r="K51" s="16" t="n">
        <x:v>5</x:v>
      </x:c>
      <x:c r="L51" s="16" t="n">
        <x:v>0</x:v>
      </x:c>
      <x:c r="M51" s="21" t="str">
        <x:v>Who Gets the Dog? 的 comedy film、romantic comedy 两项正确完整，列举流畅。</x:v>
      </x:c>
      <x:c r="N51" s="2" t="str">
        <x:v>gpt-6.1-sol</x:v>
      </x:c>
      <x:c r="O51" s="2" t="str">
        <x:v>ultra</x:v>
      </x:c>
      <x:c r="P51" s="16" t="n">
        <x:f>IF(I51=I251,1,0)</x:f>
        <x:v>1</x:v>
      </x:c>
      <x:c r="Q51" s="16" t="n">
        <x:f>IF(J51=J251,1,0)</x:f>
        <x:v>1</x:v>
      </x:c>
      <x:c r="R51" s="16" t="n">
        <x:f>IF(K51=K251,1,0)</x:f>
        <x:v>1</x:v>
      </x:c>
      <x:c r="S51" s="16" t="n">
        <x:f>IF(L51=L251,1,0)</x:f>
        <x:v>1</x:v>
      </x:c>
      <x:c r="T51" s="16" t="n">
        <x:f>IF(SUM(P51:S51)=4,1,0)</x:f>
        <x:v>1</x:v>
      </x:c>
    </x:row>
    <x:row r="52" ht="40" customHeight="1">
      <x:c r="A52" s="16" t="n">
        <x:v>24</x:v>
      </x:c>
      <x:c r="B52" s="2" t="str">
        <x:v>Q1434610_P364_1</x:v>
      </x:c>
      <x:c r="C52" s="21" t="str">
        <x:v>Which languages was The Racket originally made in?</x:v>
      </x:c>
      <x:c r="D52" s="21" t="str">
        <x:v>The original languages of The Racket are English. || The Racket was originally made in English.</x:v>
      </x:c>
      <x:c r="E52" s="16" t="n">
        <x:v>1</x:v>
      </x:c>
      <x:c r="F52" s="21" t="str">
        <x:v>The original languages of The Racket are English.</x:v>
      </x:c>
      <x:c r="G52" s="2" t="str">
        <x:v>B0</x:v>
      </x:c>
      <x:c r="H52" s="2" t="str">
        <x:v>自动评审01</x:v>
      </x:c>
      <x:c r="I52" s="16" t="n">
        <x:v>2</x:v>
      </x:c>
      <x:c r="J52" s="16" t="n">
        <x:v>2</x:v>
      </x:c>
      <x:c r="K52" s="16" t="n">
        <x:v>4</x:v>
      </x:c>
      <x:c r="L52" s="16" t="n">
        <x:v>0</x:v>
      </x:c>
      <x:c r="M52" s="21" t="str">
        <x:v>The Racket 的 English 语言正确完整；单一语言用复数 languages are 略生硬。</x:v>
      </x:c>
      <x:c r="N52" s="2" t="str">
        <x:v>gpt-6.1-sol</x:v>
      </x:c>
      <x:c r="O52" s="2" t="str">
        <x:v>ultra</x:v>
      </x:c>
      <x:c r="P52" s="16" t="n">
        <x:f>IF(I52=I252,1,0)</x:f>
        <x:v>1</x:v>
      </x:c>
      <x:c r="Q52" s="16" t="n">
        <x:f>IF(J52=J252,1,0)</x:f>
        <x:v>1</x:v>
      </x:c>
      <x:c r="R52" s="16" t="n">
        <x:f>IF(K52=K252,1,0)</x:f>
        <x:v>1</x:v>
      </x:c>
      <x:c r="S52" s="16" t="n">
        <x:f>IF(L52=L252,1,0)</x:f>
        <x:v>1</x:v>
      </x:c>
      <x:c r="T52" s="16" t="n">
        <x:f>IF(SUM(P52:S52)=4,1,0)</x:f>
        <x:v>1</x:v>
      </x:c>
    </x:row>
    <x:row r="53" ht="40" customHeight="1">
      <x:c r="A53" s="16" t="n">
        <x:v>24</x:v>
      </x:c>
      <x:c r="B53" s="2" t="str">
        <x:v>Q1434610_P364_1</x:v>
      </x:c>
      <x:c r="C53" s="21" t="str">
        <x:v>Which languages was The Racket originally made in?</x:v>
      </x:c>
      <x:c r="D53" s="21" t="str">
        <x:v>The original languages of The Racket are English. || The Racket was originally made in English.</x:v>
      </x:c>
      <x:c r="E53" s="16" t="n">
        <x:v>2</x:v>
      </x:c>
      <x:c r="F53" s="21" t="str">
        <x:v>The original languages of The Racket are English.</x:v>
      </x:c>
      <x:c r="G53" s="2" t="str">
        <x:v>A0</x:v>
      </x:c>
      <x:c r="H53" s="2" t="str">
        <x:v>自动评审01</x:v>
      </x:c>
      <x:c r="I53" s="16" t="n">
        <x:v>2</x:v>
      </x:c>
      <x:c r="J53" s="16" t="n">
        <x:v>2</x:v>
      </x:c>
      <x:c r="K53" s="16" t="n">
        <x:v>4</x:v>
      </x:c>
      <x:c r="L53" s="16" t="n">
        <x:v>0</x:v>
      </x:c>
      <x:c r="M53" s="21" t="str">
        <x:v>English 覆盖全部参考语言，无新增内容；languages 的复数措辞与单项列表不够自然。</x:v>
      </x:c>
      <x:c r="N53" s="2" t="str">
        <x:v>gpt-6.1-sol</x:v>
      </x:c>
      <x:c r="O53" s="2" t="str">
        <x:v>ultra</x:v>
      </x:c>
      <x:c r="P53" s="16" t="n">
        <x:f>IF(I53=I253,1,0)</x:f>
        <x:v>1</x:v>
      </x:c>
      <x:c r="Q53" s="16" t="n">
        <x:f>IF(J53=J253,1,0)</x:f>
        <x:v>1</x:v>
      </x:c>
      <x:c r="R53" s="16" t="n">
        <x:f>IF(K53=K253,1,0)</x:f>
        <x:v>1</x:v>
      </x:c>
      <x:c r="S53" s="16" t="n">
        <x:f>IF(L53=L253,1,0)</x:f>
        <x:v>1</x:v>
      </x:c>
      <x:c r="T53" s="16" t="n">
        <x:f>IF(SUM(P53:S53)=4,1,0)</x:f>
        <x:v>1</x:v>
      </x:c>
    </x:row>
    <x:row r="54" ht="40" customHeight="1">
      <x:c r="A54" s="16" t="n">
        <x:v>25</x:v>
      </x:c>
      <x:c r="B54" s="2" t="str">
        <x:v>Q1166161_P57_2</x:v>
      </x:c>
      <x:c r="C54" s="21" t="str">
        <x:v>Name the director or directors of Wrong Turn 2: Dead End.</x:v>
      </x:c>
      <x:c r="D54" s="21" t="str">
        <x:v>Wrong Turn 2: Dead End was directed by Joe Lynch. || The director or directors of Wrong Turn 2: Dead End are Joe Lynch.</x:v>
      </x:c>
      <x:c r="E54" s="16" t="n">
        <x:v>1</x:v>
      </x:c>
      <x:c r="F54" s="21" t="str">
        <x:v>Wrong Turn 2: Dead End was directed by Joe Lynch.</x:v>
      </x:c>
      <x:c r="G54" s="2" t="str">
        <x:v>B0</x:v>
      </x:c>
      <x:c r="H54" s="2" t="str">
        <x:v>自动评审01</x:v>
      </x:c>
      <x:c r="I54" s="16" t="n">
        <x:v>2</x:v>
      </x:c>
      <x:c r="J54" s="16" t="n">
        <x:v>2</x:v>
      </x:c>
      <x:c r="K54" s="16" t="n">
        <x:v>5</x:v>
      </x:c>
      <x:c r="L54" s="16" t="n">
        <x:v>0</x:v>
      </x:c>
      <x:c r="M54" s="21" t="str">
        <x:v>正确将 Wrong Turn 2: Dead End 的导演答为 Joe Lynch，信息完整，表达自然。</x:v>
      </x:c>
      <x:c r="N54" s="2" t="str">
        <x:v>gpt-6.1-sol</x:v>
      </x:c>
      <x:c r="O54" s="2" t="str">
        <x:v>ultra</x:v>
      </x:c>
      <x:c r="P54" s="16" t="n">
        <x:f>IF(I54=I254,1,0)</x:f>
        <x:v>1</x:v>
      </x:c>
      <x:c r="Q54" s="16" t="n">
        <x:f>IF(J54=J254,1,0)</x:f>
        <x:v>1</x:v>
      </x:c>
      <x:c r="R54" s="16" t="n">
        <x:f>IF(K54=K254,1,0)</x:f>
        <x:v>1</x:v>
      </x:c>
      <x:c r="S54" s="16" t="n">
        <x:f>IF(L54=L254,1,0)</x:f>
        <x:v>1</x:v>
      </x:c>
      <x:c r="T54" s="16" t="n">
        <x:f>IF(SUM(P54:S54)=4,1,0)</x:f>
        <x:v>1</x:v>
      </x:c>
    </x:row>
    <x:row r="55" ht="40" customHeight="1">
      <x:c r="A55" s="16" t="n">
        <x:v>25</x:v>
      </x:c>
      <x:c r="B55" s="2" t="str">
        <x:v>Q1166161_P57_2</x:v>
      </x:c>
      <x:c r="C55" s="21" t="str">
        <x:v>Name the director or directors of Wrong Turn 2: Dead End.</x:v>
      </x:c>
      <x:c r="D55" s="21" t="str">
        <x:v>Wrong Turn 2: Dead End was directed by Joe Lynch. || The director or directors of Wrong Turn 2: Dead End are Joe Lynch.</x:v>
      </x:c>
      <x:c r="E55" s="16" t="n">
        <x:v>2</x:v>
      </x:c>
      <x:c r="F55" s="21" t="str">
        <x:v>Wrong Turn 2: Dead End was directed by Joe Lynch.</x:v>
      </x:c>
      <x:c r="G55" s="2" t="str">
        <x:v>A0</x:v>
      </x:c>
      <x:c r="H55" s="2" t="str">
        <x:v>自动评审01</x:v>
      </x:c>
      <x:c r="I55" s="16" t="n">
        <x:v>2</x:v>
      </x:c>
      <x:c r="J55" s="16" t="n">
        <x:v>2</x:v>
      </x:c>
      <x:c r="K55" s="16" t="n">
        <x:v>5</x:v>
      </x:c>
      <x:c r="L55" s="16" t="n">
        <x:v>0</x:v>
      </x:c>
      <x:c r="M55" s="21" t="str">
        <x:v>Joe Lynch 与参考人物相符，导演关系清晰，无额外事实。</x:v>
      </x:c>
      <x:c r="N55" s="2" t="str">
        <x:v>gpt-6.1-sol</x:v>
      </x:c>
      <x:c r="O55" s="2" t="str">
        <x:v>ultra</x:v>
      </x:c>
      <x:c r="P55" s="16" t="n">
        <x:f>IF(I55=I255,1,0)</x:f>
        <x:v>1</x:v>
      </x:c>
      <x:c r="Q55" s="16" t="n">
        <x:f>IF(J55=J255,1,0)</x:f>
        <x:v>1</x:v>
      </x:c>
      <x:c r="R55" s="16" t="n">
        <x:f>IF(K55=K255,1,0)</x:f>
        <x:v>1</x:v>
      </x:c>
      <x:c r="S55" s="16" t="n">
        <x:f>IF(L55=L255,1,0)</x:f>
        <x:v>1</x:v>
      </x:c>
      <x:c r="T55" s="16" t="n">
        <x:f>IF(SUM(P55:S55)=4,1,0)</x:f>
        <x:v>1</x:v>
      </x:c>
    </x:row>
    <x:row r="56" ht="54" customHeight="1">
      <x:c r="A56" s="16" t="n">
        <x:v>26</x:v>
      </x:c>
      <x:c r="B56" s="2" t="str">
        <x:v>Q166696_P495_1</x:v>
      </x:c>
      <x:c r="C56" s="21" t="str">
        <x:v>What is the country of origin of The Baader Meinhof Complex?</x:v>
      </x:c>
      <x:c r="D56" s="21" t="str">
        <x:v>The Baader Meinhof Complex originated in France, Germany and Czech Republic. || The countries of origin of The Baader Meinhof Complex are France, Germany and Czech Republic.</x:v>
      </x:c>
      <x:c r="E56" s="16" t="n">
        <x:v>1</x:v>
      </x:c>
      <x:c r="F56" s="21" t="str">
        <x:v>The Baader Meinhof Complex originated in France, Germany and Czech Republic.</x:v>
      </x:c>
      <x:c r="G56" s="2" t="str">
        <x:v>A0</x:v>
      </x:c>
      <x:c r="H56" s="2" t="str">
        <x:v>自动评审01</x:v>
      </x:c>
      <x:c r="I56" s="16" t="n">
        <x:v>2</x:v>
      </x:c>
      <x:c r="J56" s="16" t="n">
        <x:v>2</x:v>
      </x:c>
      <x:c r="K56" s="16" t="n">
        <x:v>4</x:v>
      </x:c>
      <x:c r="L56" s="16" t="n">
        <x:v>0</x:v>
      </x:c>
      <x:c r="M56" s="21" t="str">
        <x:v>法国、德国、捷克三国产地正确齐全；Czech Republic 前应有 the。</x:v>
      </x:c>
      <x:c r="N56" s="2" t="str">
        <x:v>gpt-6.1-sol</x:v>
      </x:c>
      <x:c r="O56" s="2" t="str">
        <x:v>ultra</x:v>
      </x:c>
      <x:c r="P56" s="16" t="n">
        <x:f>IF(I56=I256,1,0)</x:f>
        <x:v>1</x:v>
      </x:c>
      <x:c r="Q56" s="16" t="n">
        <x:f>IF(J56=J256,1,0)</x:f>
        <x:v>1</x:v>
      </x:c>
      <x:c r="R56" s="16" t="n">
        <x:f>IF(K56=K256,1,0)</x:f>
        <x:v>1</x:v>
      </x:c>
      <x:c r="S56" s="16" t="n">
        <x:f>IF(L56=L256,1,0)</x:f>
        <x:v>1</x:v>
      </x:c>
      <x:c r="T56" s="16" t="n">
        <x:f>IF(SUM(P56:S56)=4,1,0)</x:f>
        <x:v>1</x:v>
      </x:c>
    </x:row>
    <x:row r="57" ht="54" customHeight="1">
      <x:c r="A57" s="16" t="n">
        <x:v>26</x:v>
      </x:c>
      <x:c r="B57" s="2" t="str">
        <x:v>Q166696_P495_1</x:v>
      </x:c>
      <x:c r="C57" s="21" t="str">
        <x:v>What is the country of origin of The Baader Meinhof Complex?</x:v>
      </x:c>
      <x:c r="D57" s="21" t="str">
        <x:v>The Baader Meinhof Complex originated in France, Germany and Czech Republic. || The countries of origin of The Baader Meinhof Complex are France, Germany and Czech Republic.</x:v>
      </x:c>
      <x:c r="E57" s="16" t="n">
        <x:v>2</x:v>
      </x:c>
      <x:c r="F57" s="21" t="str">
        <x:v>The Baader Meinhof Complex originated in France, Germany and Czech Republic.</x:v>
      </x:c>
      <x:c r="G57" s="2" t="str">
        <x:v>B0</x:v>
      </x:c>
      <x:c r="H57" s="2" t="str">
        <x:v>自动评审01</x:v>
      </x:c>
      <x:c r="I57" s="16" t="n">
        <x:v>2</x:v>
      </x:c>
      <x:c r="J57" s="16" t="n">
        <x:v>2</x:v>
      </x:c>
      <x:c r="K57" s="16" t="n">
        <x:v>4</x:v>
      </x:c>
      <x:c r="L57" s="16" t="n">
        <x:v>0</x:v>
      </x:c>
      <x:c r="M57" s="21" t="str">
        <x:v>France、Germany 和 Czech Republic 全部覆盖参考；捷克国名前漏定冠词。</x:v>
      </x:c>
      <x:c r="N57" s="2" t="str">
        <x:v>gpt-6.1-sol</x:v>
      </x:c>
      <x:c r="O57" s="2" t="str">
        <x:v>ultra</x:v>
      </x:c>
      <x:c r="P57" s="16" t="n">
        <x:f>IF(I57=I257,1,0)</x:f>
        <x:v>1</x:v>
      </x:c>
      <x:c r="Q57" s="16" t="n">
        <x:f>IF(J57=J257,1,0)</x:f>
        <x:v>1</x:v>
      </x:c>
      <x:c r="R57" s="16" t="n">
        <x:f>IF(K57=K257,1,0)</x:f>
        <x:v>1</x:v>
      </x:c>
      <x:c r="S57" s="16" t="n">
        <x:f>IF(L57=L257,1,0)</x:f>
        <x:v>1</x:v>
      </x:c>
      <x:c r="T57" s="16" t="n">
        <x:f>IF(SUM(P57:S57)=4,1,0)</x:f>
        <x:v>1</x:v>
      </x:c>
    </x:row>
    <x:row r="58" ht="40" customHeight="1">
      <x:c r="A58" s="16" t="n">
        <x:v>27</x:v>
      </x:c>
      <x:c r="B58" s="2" t="str">
        <x:v>Q244315_P364_1</x:v>
      </x:c>
      <x:c r="C58" s="21" t="str">
        <x:v>Which languages was There Will Be Blood originally made in?</x:v>
      </x:c>
      <x:c r="D58" s="21" t="str">
        <x:v>The original languages of There Will Be Blood are English. || There Will Be Blood was originally made in English.</x:v>
      </x:c>
      <x:c r="E58" s="16" t="n">
        <x:v>1</x:v>
      </x:c>
      <x:c r="F58" s="21" t="str">
        <x:v>The original languages of There Will Be Blood are English.</x:v>
      </x:c>
      <x:c r="G58" s="2" t="str">
        <x:v>A0</x:v>
      </x:c>
      <x:c r="H58" s="2" t="str">
        <x:v>自动评审01</x:v>
      </x:c>
      <x:c r="I58" s="16" t="n">
        <x:v>2</x:v>
      </x:c>
      <x:c r="J58" s="16" t="n">
        <x:v>2</x:v>
      </x:c>
      <x:c r="K58" s="16" t="n">
        <x:v>4</x:v>
      </x:c>
      <x:c r="L58" s="16" t="n">
        <x:v>0</x:v>
      </x:c>
      <x:c r="M58" s="21" t="str">
        <x:v>正确给出 There Will Be Blood 的原始语言 English；单项语言配复数 languages are 略别扭。</x:v>
      </x:c>
      <x:c r="N58" s="2" t="str">
        <x:v>gpt-6.1-sol</x:v>
      </x:c>
      <x:c r="O58" s="2" t="str">
        <x:v>ultra</x:v>
      </x:c>
      <x:c r="P58" s="16" t="n">
        <x:f>IF(I58=I258,1,0)</x:f>
        <x:v>1</x:v>
      </x:c>
      <x:c r="Q58" s="16" t="n">
        <x:f>IF(J58=J258,1,0)</x:f>
        <x:v>1</x:v>
      </x:c>
      <x:c r="R58" s="16" t="n">
        <x:f>IF(K58=K258,1,0)</x:f>
        <x:v>1</x:v>
      </x:c>
      <x:c r="S58" s="16" t="n">
        <x:f>IF(L58=L258,1,0)</x:f>
        <x:v>1</x:v>
      </x:c>
      <x:c r="T58" s="16" t="n">
        <x:f>IF(SUM(P58:S58)=4,1,0)</x:f>
        <x:v>1</x:v>
      </x:c>
    </x:row>
    <x:row r="59" ht="40" customHeight="1">
      <x:c r="A59" s="16" t="n">
        <x:v>27</x:v>
      </x:c>
      <x:c r="B59" s="2" t="str">
        <x:v>Q244315_P364_1</x:v>
      </x:c>
      <x:c r="C59" s="21" t="str">
        <x:v>Which languages was There Will Be Blood originally made in?</x:v>
      </x:c>
      <x:c r="D59" s="21" t="str">
        <x:v>The original languages of There Will Be Blood are English. || There Will Be Blood was originally made in English.</x:v>
      </x:c>
      <x:c r="E59" s="16" t="n">
        <x:v>2</x:v>
      </x:c>
      <x:c r="F59" s="21" t="str">
        <x:v>The original languages of There Will Be Blood are English.</x:v>
      </x:c>
      <x:c r="G59" s="2" t="str">
        <x:v>B0</x:v>
      </x:c>
      <x:c r="H59" s="2" t="str">
        <x:v>自动评审01</x:v>
      </x:c>
      <x:c r="I59" s="16" t="n">
        <x:v>2</x:v>
      </x:c>
      <x:c r="J59" s="16" t="n">
        <x:v>2</x:v>
      </x:c>
      <x:c r="K59" s="16" t="n">
        <x:v>4</x:v>
      </x:c>
      <x:c r="L59" s="16" t="n">
        <x:v>0</x:v>
      </x:c>
      <x:c r="M59" s="21" t="str">
        <x:v>英语这一唯一参考语言被完整回答；复数 languages 用于单项稍不自然。</x:v>
      </x:c>
      <x:c r="N59" s="2" t="str">
        <x:v>gpt-6.1-sol</x:v>
      </x:c>
      <x:c r="O59" s="2" t="str">
        <x:v>ultra</x:v>
      </x:c>
      <x:c r="P59" s="16" t="n">
        <x:f>IF(I59=I259,1,0)</x:f>
        <x:v>1</x:v>
      </x:c>
      <x:c r="Q59" s="16" t="n">
        <x:f>IF(J59=J259,1,0)</x:f>
        <x:v>1</x:v>
      </x:c>
      <x:c r="R59" s="16" t="n">
        <x:f>IF(K59=K259,1,0)</x:f>
        <x:v>1</x:v>
      </x:c>
      <x:c r="S59" s="16" t="n">
        <x:f>IF(L59=L259,1,0)</x:f>
        <x:v>1</x:v>
      </x:c>
      <x:c r="T59" s="16" t="n">
        <x:f>IF(SUM(P59:S59)=4,1,0)</x:f>
        <x:v>1</x:v>
      </x:c>
    </x:row>
    <x:row r="60" ht="54" customHeight="1">
      <x:c r="A60" s="16" t="n">
        <x:v>28</x:v>
      </x:c>
      <x:c r="B60" s="2" t="str">
        <x:v>Q1042931_P136_2</x:v>
      </x:c>
      <x:c r="C60" s="21" t="str">
        <x:v>Name the genre or genres of The Man Who Would Be King.</x:v>
      </x:c>
      <x:c r="D60" s="21" t="str">
        <x:v>The Man Who Would Be King belongs to the following genres: drama film and adventure film. || The genres of The Man Who Would Be King are drama film and adventure film.</x:v>
      </x:c>
      <x:c r="E60" s="16" t="n">
        <x:v>1</x:v>
      </x:c>
      <x:c r="F60" s="21" t="str">
        <x:v>The Man Who Would Be King belongs to the following genres: drama film and adventure film.</x:v>
      </x:c>
      <x:c r="G60" s="2" t="str">
        <x:v>A0</x:v>
      </x:c>
      <x:c r="H60" s="2" t="str">
        <x:v>自动评审01</x:v>
      </x:c>
      <x:c r="I60" s="16" t="n">
        <x:v>2</x:v>
      </x:c>
      <x:c r="J60" s="16" t="n">
        <x:v>2</x:v>
      </x:c>
      <x:c r="K60" s="16" t="n">
        <x:v>5</x:v>
      </x:c>
      <x:c r="L60" s="16" t="n">
        <x:v>0</x:v>
      </x:c>
      <x:c r="M60" s="21" t="str">
        <x:v>剧情片与冒险片两项完整正确，未增其他类型，列举句自然。</x:v>
      </x:c>
      <x:c r="N60" s="2" t="str">
        <x:v>gpt-6.1-sol</x:v>
      </x:c>
      <x:c r="O60" s="2" t="str">
        <x:v>ultra</x:v>
      </x:c>
      <x:c r="P60" s="16" t="n">
        <x:f>IF(I60=I260,1,0)</x:f>
        <x:v>1</x:v>
      </x:c>
      <x:c r="Q60" s="16" t="n">
        <x:f>IF(J60=J260,1,0)</x:f>
        <x:v>1</x:v>
      </x:c>
      <x:c r="R60" s="16" t="n">
        <x:f>IF(K60=K260,1,0)</x:f>
        <x:v>1</x:v>
      </x:c>
      <x:c r="S60" s="16" t="n">
        <x:f>IF(L60=L260,1,0)</x:f>
        <x:v>1</x:v>
      </x:c>
      <x:c r="T60" s="16" t="n">
        <x:f>IF(SUM(P60:S60)=4,1,0)</x:f>
        <x:v>1</x:v>
      </x:c>
    </x:row>
    <x:row r="61" ht="54" customHeight="1">
      <x:c r="A61" s="16" t="n">
        <x:v>28</x:v>
      </x:c>
      <x:c r="B61" s="2" t="str">
        <x:v>Q1042931_P136_2</x:v>
      </x:c>
      <x:c r="C61" s="21" t="str">
        <x:v>Name the genre or genres of The Man Who Would Be King.</x:v>
      </x:c>
      <x:c r="D61" s="21" t="str">
        <x:v>The Man Who Would Be King belongs to the following genres: drama film and adventure film. || The genres of The Man Who Would Be King are drama film and adventure film.</x:v>
      </x:c>
      <x:c r="E61" s="16" t="n">
        <x:v>2</x:v>
      </x:c>
      <x:c r="F61" s="21" t="str">
        <x:v>The Man Who Would Be King belongs to the following genres: drama film and adventure film.</x:v>
      </x:c>
      <x:c r="G61" s="2" t="str">
        <x:v>B0</x:v>
      </x:c>
      <x:c r="H61" s="2" t="str">
        <x:v>自动评审01</x:v>
      </x:c>
      <x:c r="I61" s="16" t="n">
        <x:v>2</x:v>
      </x:c>
      <x:c r="J61" s="16" t="n">
        <x:v>2</x:v>
      </x:c>
      <x:c r="K61" s="16" t="n">
        <x:v>5</x:v>
      </x:c>
      <x:c r="L61" s="16" t="n">
        <x:v>0</x:v>
      </x:c>
      <x:c r="M61" s="21" t="str">
        <x:v>The Man Who Would Be King 的 drama film 和 adventure film 均与参考吻合，表达流畅。</x:v>
      </x:c>
      <x:c r="N61" s="2" t="str">
        <x:v>gpt-6.1-sol</x:v>
      </x:c>
      <x:c r="O61" s="2" t="str">
        <x:v>ultra</x:v>
      </x:c>
      <x:c r="P61" s="16" t="n">
        <x:f>IF(I61=I261,1,0)</x:f>
        <x:v>1</x:v>
      </x:c>
      <x:c r="Q61" s="16" t="n">
        <x:f>IF(J61=J261,1,0)</x:f>
        <x:v>1</x:v>
      </x:c>
      <x:c r="R61" s="16" t="n">
        <x:f>IF(K61=K261,1,0)</x:f>
        <x:v>1</x:v>
      </x:c>
      <x:c r="S61" s="16" t="n">
        <x:f>IF(L61=L261,1,0)</x:f>
        <x:v>1</x:v>
      </x:c>
      <x:c r="T61" s="16" t="n">
        <x:f>IF(SUM(P61:S61)=4,1,0)</x:f>
        <x:v>1</x:v>
      </x:c>
    </x:row>
    <x:row r="62" ht="40" customHeight="1">
      <x:c r="A62" s="16" t="n">
        <x:v>29</x:v>
      </x:c>
      <x:c r="B62" s="2" t="str">
        <x:v>Q1137236_P364_0</x:v>
      </x:c>
      <x:c r="C62" s="21" t="str">
        <x:v>What is the original language of J. Edgar?</x:v>
      </x:c>
      <x:c r="D62" s="21" t="str">
        <x:v>The original languages of J. Edgar are English. || J. Edgar was originally made in English.</x:v>
      </x:c>
      <x:c r="E62" s="16" t="n">
        <x:v>1</x:v>
      </x:c>
      <x:c r="F62" s="21" t="str">
        <x:v>The original languages of J. Edgar are English.</x:v>
      </x:c>
      <x:c r="G62" s="2" t="str">
        <x:v>B0</x:v>
      </x:c>
      <x:c r="H62" s="2" t="str">
        <x:v>自动评审01</x:v>
      </x:c>
      <x:c r="I62" s="16" t="n">
        <x:v>2</x:v>
      </x:c>
      <x:c r="J62" s="16" t="n">
        <x:v>2</x:v>
      </x:c>
      <x:c r="K62" s="16" t="n">
        <x:v>4</x:v>
      </x:c>
      <x:c r="L62" s="16" t="n">
        <x:v>0</x:v>
      </x:c>
      <x:c r="M62" s="21" t="str">
        <x:v>J. Edgar 的 English 原始语言正确齐全；单门语言用 languages are 的复数措辞稍生硬。</x:v>
      </x:c>
      <x:c r="N62" s="2" t="str">
        <x:v>gpt-6.1-sol</x:v>
      </x:c>
      <x:c r="O62" s="2" t="str">
        <x:v>ultra</x:v>
      </x:c>
      <x:c r="P62" s="16" t="n">
        <x:f>IF(I62=I262,1,0)</x:f>
        <x:v>1</x:v>
      </x:c>
      <x:c r="Q62" s="16" t="n">
        <x:f>IF(J62=J262,1,0)</x:f>
        <x:v>1</x:v>
      </x:c>
      <x:c r="R62" s="16" t="n">
        <x:f>IF(K62=K262,1,0)</x:f>
        <x:v>1</x:v>
      </x:c>
      <x:c r="S62" s="16" t="n">
        <x:f>IF(L62=L262,1,0)</x:f>
        <x:v>1</x:v>
      </x:c>
      <x:c r="T62" s="16" t="n">
        <x:f>IF(SUM(P62:S62)=4,1,0)</x:f>
        <x:v>1</x:v>
      </x:c>
    </x:row>
    <x:row r="63" ht="40" customHeight="1">
      <x:c r="A63" s="16" t="n">
        <x:v>29</x:v>
      </x:c>
      <x:c r="B63" s="2" t="str">
        <x:v>Q1137236_P364_0</x:v>
      </x:c>
      <x:c r="C63" s="21" t="str">
        <x:v>What is the original language of J. Edgar?</x:v>
      </x:c>
      <x:c r="D63" s="21" t="str">
        <x:v>The original languages of J. Edgar are English. || J. Edgar was originally made in English.</x:v>
      </x:c>
      <x:c r="E63" s="16" t="n">
        <x:v>2</x:v>
      </x:c>
      <x:c r="F63" s="21" t="str">
        <x:v>The original languages of J. Edgar are English.</x:v>
      </x:c>
      <x:c r="G63" s="2" t="str">
        <x:v>A0</x:v>
      </x:c>
      <x:c r="H63" s="2" t="str">
        <x:v>自动评审01</x:v>
      </x:c>
      <x:c r="I63" s="16" t="n">
        <x:v>2</x:v>
      </x:c>
      <x:c r="J63" s="16" t="n">
        <x:v>2</x:v>
      </x:c>
      <x:c r="K63" s="16" t="n">
        <x:v>4</x:v>
      </x:c>
      <x:c r="L63" s="16" t="n">
        <x:v>0</x:v>
      </x:c>
      <x:c r="M63" s="21" t="str">
        <x:v>完整回答参考中的英语语言，无新增事实；唯一语言与复数 languages 的搭配不够自然。</x:v>
      </x:c>
      <x:c r="N63" s="2" t="str">
        <x:v>gpt-6.1-sol</x:v>
      </x:c>
      <x:c r="O63" s="2" t="str">
        <x:v>ultra</x:v>
      </x:c>
      <x:c r="P63" s="16" t="n">
        <x:f>IF(I63=I263,1,0)</x:f>
        <x:v>1</x:v>
      </x:c>
      <x:c r="Q63" s="16" t="n">
        <x:f>IF(J63=J263,1,0)</x:f>
        <x:v>1</x:v>
      </x:c>
      <x:c r="R63" s="16" t="n">
        <x:f>IF(K63=K263,1,0)</x:f>
        <x:v>1</x:v>
      </x:c>
      <x:c r="S63" s="16" t="n">
        <x:f>IF(L63=L263,1,0)</x:f>
        <x:v>1</x:v>
      </x:c>
      <x:c r="T63" s="16" t="n">
        <x:f>IF(SUM(P63:S63)=4,1,0)</x:f>
        <x:v>1</x:v>
      </x:c>
    </x:row>
    <x:row r="64" ht="40" customHeight="1">
      <x:c r="A64" s="16" t="n">
        <x:v>30</x:v>
      </x:c>
      <x:c r="B64" s="2" t="str">
        <x:v>Q840872_P495_1</x:v>
      </x:c>
      <x:c r="C64" s="21" t="str">
        <x:v>What is the country of origin of Thank You for Smoking?</x:v>
      </x:c>
      <x:c r="D64" s="21" t="str">
        <x:v>Thank You for Smoking originated in United States. || The countries of origin of Thank You for Smoking are United States.</x:v>
      </x:c>
      <x:c r="E64" s="16" t="n">
        <x:v>1</x:v>
      </x:c>
      <x:c r="F64" s="21" t="str">
        <x:v>Thank You for Smoking originated in United States.</x:v>
      </x:c>
      <x:c r="G64" s="2" t="str">
        <x:v>A0</x:v>
      </x:c>
      <x:c r="H64" s="2" t="str">
        <x:v>自动评审01</x:v>
      </x:c>
      <x:c r="I64" s="16" t="n">
        <x:v>2</x:v>
      </x:c>
      <x:c r="J64" s="16" t="n">
        <x:v>2</x:v>
      </x:c>
      <x:c r="K64" s="16" t="n">
        <x:v>4</x:v>
      </x:c>
      <x:c r="L64" s="16" t="n">
        <x:v>0</x:v>
      </x:c>
      <x:c r="M64" s="21" t="str">
        <x:v>Thank You for Smoking 的美国来源正确且无遗漏；United States 前缺少 the。</x:v>
      </x:c>
      <x:c r="N64" s="2" t="str">
        <x:v>gpt-6.1-sol</x:v>
      </x:c>
      <x:c r="O64" s="2" t="str">
        <x:v>ultra</x:v>
      </x:c>
      <x:c r="P64" s="16" t="n">
        <x:f>IF(I64=I264,1,0)</x:f>
        <x:v>1</x:v>
      </x:c>
      <x:c r="Q64" s="16" t="n">
        <x:f>IF(J64=J264,1,0)</x:f>
        <x:v>1</x:v>
      </x:c>
      <x:c r="R64" s="16" t="n">
        <x:f>IF(K64=K264,1,0)</x:f>
        <x:v>1</x:v>
      </x:c>
      <x:c r="S64" s="16" t="n">
        <x:f>IF(L64=L264,1,0)</x:f>
        <x:v>1</x:v>
      </x:c>
      <x:c r="T64" s="16" t="n">
        <x:f>IF(SUM(P64:S64)=4,1,0)</x:f>
        <x:v>1</x:v>
      </x:c>
    </x:row>
    <x:row r="65" ht="40" customHeight="1">
      <x:c r="A65" s="16" t="n">
        <x:v>30</x:v>
      </x:c>
      <x:c r="B65" s="2" t="str">
        <x:v>Q840872_P495_1</x:v>
      </x:c>
      <x:c r="C65" s="21" t="str">
        <x:v>What is the country of origin of Thank You for Smoking?</x:v>
      </x:c>
      <x:c r="D65" s="21" t="str">
        <x:v>Thank You for Smoking originated in United States. || The countries of origin of Thank You for Smoking are United States.</x:v>
      </x:c>
      <x:c r="E65" s="16" t="n">
        <x:v>2</x:v>
      </x:c>
      <x:c r="F65" s="21" t="str">
        <x:v>Thank You for Smoking originated in United States.</x:v>
      </x:c>
      <x:c r="G65" s="2" t="str">
        <x:v>B0</x:v>
      </x:c>
      <x:c r="H65" s="2" t="str">
        <x:v>自动评审01</x:v>
      </x:c>
      <x:c r="I65" s="16" t="n">
        <x:v>2</x:v>
      </x:c>
      <x:c r="J65" s="16" t="n">
        <x:v>2</x:v>
      </x:c>
      <x:c r="K65" s="16" t="n">
        <x:v>4</x:v>
      </x:c>
      <x:c r="L65" s="16" t="n">
        <x:v>0</x:v>
      </x:c>
      <x:c r="M65" s="21" t="str">
        <x:v>美国这一参考产地完整给出；in United States 的冠词缺失属轻微问题。</x:v>
      </x:c>
      <x:c r="N65" s="2" t="str">
        <x:v>gpt-6.1-sol</x:v>
      </x:c>
      <x:c r="O65" s="2" t="str">
        <x:v>ultra</x:v>
      </x:c>
      <x:c r="P65" s="16" t="n">
        <x:f>IF(I65=I265,1,0)</x:f>
        <x:v>1</x:v>
      </x:c>
      <x:c r="Q65" s="16" t="n">
        <x:f>IF(J65=J265,1,0)</x:f>
        <x:v>1</x:v>
      </x:c>
      <x:c r="R65" s="16" t="n">
        <x:f>IF(K65=K265,1,0)</x:f>
        <x:v>1</x:v>
      </x:c>
      <x:c r="S65" s="16" t="n">
        <x:f>IF(L65=L265,1,0)</x:f>
        <x:v>1</x:v>
      </x:c>
      <x:c r="T65" s="16" t="n">
        <x:f>IF(SUM(P65:S65)=4,1,0)</x:f>
        <x:v>1</x:v>
      </x:c>
    </x:row>
    <x:row r="66" ht="40" customHeight="1">
      <x:c r="A66" s="16" t="n">
        <x:v>31</x:v>
      </x:c>
      <x:c r="B66" s="2" t="str">
        <x:v>Q503033_P57_0</x:v>
      </x:c>
      <x:c r="C66" s="21" t="str">
        <x:v>Who directed The Final Countdown?</x:v>
      </x:c>
      <x:c r="D66" s="21" t="str">
        <x:v>The Final Countdown was directed by Don Taylor. || The director or directors of The Final Countdown are Don Taylor.</x:v>
      </x:c>
      <x:c r="E66" s="16" t="n">
        <x:v>1</x:v>
      </x:c>
      <x:c r="F66" s="21" t="str">
        <x:v>The Final Countdown was directed by Don Taylor.</x:v>
      </x:c>
      <x:c r="G66" s="2" t="str">
        <x:v>B0</x:v>
      </x:c>
      <x:c r="H66" s="2" t="str">
        <x:v>自动评审01</x:v>
      </x:c>
      <x:c r="I66" s="16" t="n">
        <x:v>2</x:v>
      </x:c>
      <x:c r="J66" s="16" t="n">
        <x:v>2</x:v>
      </x:c>
      <x:c r="K66" s="16" t="n">
        <x:v>5</x:v>
      </x:c>
      <x:c r="L66" s="16" t="n">
        <x:v>0</x:v>
      </x:c>
      <x:c r="M66" s="21" t="str">
        <x:v>Don Taylor 是参考中的导演，人物和电影关系正确完整，句子自然。</x:v>
      </x:c>
      <x:c r="N66" s="2" t="str">
        <x:v>gpt-6.1-sol</x:v>
      </x:c>
      <x:c r="O66" s="2" t="str">
        <x:v>ultra</x:v>
      </x:c>
      <x:c r="P66" s="16" t="n">
        <x:f>IF(I66=I266,1,0)</x:f>
        <x:v>1</x:v>
      </x:c>
      <x:c r="Q66" s="16" t="n">
        <x:f>IF(J66=J266,1,0)</x:f>
        <x:v>1</x:v>
      </x:c>
      <x:c r="R66" s="16" t="n">
        <x:f>IF(K66=K266,1,0)</x:f>
        <x:v>1</x:v>
      </x:c>
      <x:c r="S66" s="16" t="n">
        <x:f>IF(L66=L266,1,0)</x:f>
        <x:v>1</x:v>
      </x:c>
      <x:c r="T66" s="16" t="n">
        <x:f>IF(SUM(P66:S66)=4,1,0)</x:f>
        <x:v>1</x:v>
      </x:c>
    </x:row>
    <x:row r="67" ht="40" customHeight="1">
      <x:c r="A67" s="16" t="n">
        <x:v>31</x:v>
      </x:c>
      <x:c r="B67" s="2" t="str">
        <x:v>Q503033_P57_0</x:v>
      </x:c>
      <x:c r="C67" s="21" t="str">
        <x:v>Who directed The Final Countdown?</x:v>
      </x:c>
      <x:c r="D67" s="21" t="str">
        <x:v>The Final Countdown was directed by Don Taylor. || The director or directors of The Final Countdown are Don Taylor.</x:v>
      </x:c>
      <x:c r="E67" s="16" t="n">
        <x:v>2</x:v>
      </x:c>
      <x:c r="F67" s="21" t="str">
        <x:v>The Final Countdown was directed by Don Taylor.</x:v>
      </x:c>
      <x:c r="G67" s="2" t="str">
        <x:v>A0</x:v>
      </x:c>
      <x:c r="H67" s="2" t="str">
        <x:v>自动评审01</x:v>
      </x:c>
      <x:c r="I67" s="16" t="n">
        <x:v>2</x:v>
      </x:c>
      <x:c r="J67" s="16" t="n">
        <x:v>2</x:v>
      </x:c>
      <x:c r="K67" s="16" t="n">
        <x:v>5</x:v>
      </x:c>
      <x:c r="L67" s="16" t="n">
        <x:v>0</x:v>
      </x:c>
      <x:c r="M67" s="21" t="str">
        <x:v>正确回答 The Final Countdown 由 Don Taylor 执导，无额外事实，英语流畅。</x:v>
      </x:c>
      <x:c r="N67" s="2" t="str">
        <x:v>gpt-6.1-sol</x:v>
      </x:c>
      <x:c r="O67" s="2" t="str">
        <x:v>ultra</x:v>
      </x:c>
      <x:c r="P67" s="16" t="n">
        <x:f>IF(I67=I267,1,0)</x:f>
        <x:v>1</x:v>
      </x:c>
      <x:c r="Q67" s="16" t="n">
        <x:f>IF(J67=J267,1,0)</x:f>
        <x:v>1</x:v>
      </x:c>
      <x:c r="R67" s="16" t="n">
        <x:f>IF(K67=K267,1,0)</x:f>
        <x:v>1</x:v>
      </x:c>
      <x:c r="S67" s="16" t="n">
        <x:f>IF(L67=L267,1,0)</x:f>
        <x:v>1</x:v>
      </x:c>
      <x:c r="T67" s="16" t="n">
        <x:f>IF(SUM(P67:S67)=4,1,0)</x:f>
        <x:v>1</x:v>
      </x:c>
    </x:row>
    <x:row r="68" ht="54" customHeight="1">
      <x:c r="A68" s="16" t="n">
        <x:v>32</x:v>
      </x:c>
      <x:c r="B68" s="2" t="str">
        <x:v>Q1055332_P136_1</x:v>
      </x:c>
      <x:c r="C68" s="21" t="str">
        <x:v>Which genres does The Outsiders belong to?</x:v>
      </x:c>
      <x:c r="D68" s="21" t="str">
        <x:v>The Outsiders belongs to the following genres: drama film, teen film and coming-of-age film. || The genres of The Outsiders are drama film, teen film and coming-of-age film.</x:v>
      </x:c>
      <x:c r="E68" s="16" t="n">
        <x:v>1</x:v>
      </x:c>
      <x:c r="F68" s="21" t="str">
        <x:v>The Outsiders belongs to the following genres: drama film, teen film and coming-of-age film.</x:v>
      </x:c>
      <x:c r="G68" s="2" t="str">
        <x:v>B0</x:v>
      </x:c>
      <x:c r="H68" s="2" t="str">
        <x:v>自动评审01</x:v>
      </x:c>
      <x:c r="I68" s="16" t="n">
        <x:v>2</x:v>
      </x:c>
      <x:c r="J68" s="16" t="n">
        <x:v>2</x:v>
      </x:c>
      <x:c r="K68" s="16" t="n">
        <x:v>5</x:v>
      </x:c>
      <x:c r="L68" s="16" t="n">
        <x:v>0</x:v>
      </x:c>
      <x:c r="M68" s="21" t="str">
        <x:v>剧情片、青少年片、成长片三项正确完整；电影标题整体作单数主语自然。</x:v>
      </x:c>
      <x:c r="N68" s="2" t="str">
        <x:v>gpt-6.1-sol</x:v>
      </x:c>
      <x:c r="O68" s="2" t="str">
        <x:v>ultra</x:v>
      </x:c>
      <x:c r="P68" s="16" t="n">
        <x:f>IF(I68=I268,1,0)</x:f>
        <x:v>1</x:v>
      </x:c>
      <x:c r="Q68" s="16" t="n">
        <x:f>IF(J68=J268,1,0)</x:f>
        <x:v>1</x:v>
      </x:c>
      <x:c r="R68" s="16" t="n">
        <x:f>IF(K68=K268,1,0)</x:f>
        <x:v>1</x:v>
      </x:c>
      <x:c r="S68" s="16" t="n">
        <x:f>IF(L68=L268,1,0)</x:f>
        <x:v>1</x:v>
      </x:c>
      <x:c r="T68" s="16" t="n">
        <x:f>IF(SUM(P68:S68)=4,1,0)</x:f>
        <x:v>1</x:v>
      </x:c>
    </x:row>
    <x:row r="69" ht="54" customHeight="1">
      <x:c r="A69" s="16" t="n">
        <x:v>32</x:v>
      </x:c>
      <x:c r="B69" s="2" t="str">
        <x:v>Q1055332_P136_1</x:v>
      </x:c>
      <x:c r="C69" s="21" t="str">
        <x:v>Which genres does The Outsiders belong to?</x:v>
      </x:c>
      <x:c r="D69" s="21" t="str">
        <x:v>The Outsiders belongs to the following genres: drama film, teen film and coming-of-age film. || The genres of The Outsiders are drama film, teen film and coming-of-age film.</x:v>
      </x:c>
      <x:c r="E69" s="16" t="n">
        <x:v>2</x:v>
      </x:c>
      <x:c r="F69" s="21" t="str">
        <x:v>The Outsiders belongs to the following genres: drama film, teen film and coming-of-age film.</x:v>
      </x:c>
      <x:c r="G69" s="2" t="str">
        <x:v>A0</x:v>
      </x:c>
      <x:c r="H69" s="2" t="str">
        <x:v>自动评审01</x:v>
      </x:c>
      <x:c r="I69" s="16" t="n">
        <x:v>2</x:v>
      </x:c>
      <x:c r="J69" s="16" t="n">
        <x:v>2</x:v>
      </x:c>
      <x:c r="K69" s="16" t="n">
        <x:v>5</x:v>
      </x:c>
      <x:c r="L69" s="16" t="n">
        <x:v>0</x:v>
      </x:c>
      <x:c r="M69" s="21" t="str">
        <x:v>The Outsiders 的 drama film、teen film、coming-of-age film 齐全符合参考，列举清晰。</x:v>
      </x:c>
      <x:c r="N69" s="2" t="str">
        <x:v>gpt-6.1-sol</x:v>
      </x:c>
      <x:c r="O69" s="2" t="str">
        <x:v>ultra</x:v>
      </x:c>
      <x:c r="P69" s="16" t="n">
        <x:f>IF(I69=I269,1,0)</x:f>
        <x:v>1</x:v>
      </x:c>
      <x:c r="Q69" s="16" t="n">
        <x:f>IF(J69=J269,1,0)</x:f>
        <x:v>1</x:v>
      </x:c>
      <x:c r="R69" s="16" t="n">
        <x:f>IF(K69=K269,1,0)</x:f>
        <x:v>1</x:v>
      </x:c>
      <x:c r="S69" s="16" t="n">
        <x:f>IF(L69=L269,1,0)</x:f>
        <x:v>1</x:v>
      </x:c>
      <x:c r="T69" s="16" t="n">
        <x:f>IF(SUM(P69:S69)=4,1,0)</x:f>
        <x:v>1</x:v>
      </x:c>
    </x:row>
    <x:row r="70" ht="54" customHeight="1">
      <x:c r="A70" s="16" t="n">
        <x:v>33</x:v>
      </x:c>
      <x:c r="B70" s="2" t="str">
        <x:v>Q492851_P136_1</x:v>
      </x:c>
      <x:c r="C70" s="21" t="str">
        <x:v>Which genres does The Quiet Family belong to?</x:v>
      </x:c>
      <x:c r="D70" s="21" t="str">
        <x:v>The Quiet Family belongs to the following genres: drama film, comedy film and comedy horror. || The genres of The Quiet Family are drama film, comedy film and comedy horror.</x:v>
      </x:c>
      <x:c r="E70" s="16" t="n">
        <x:v>1</x:v>
      </x:c>
      <x:c r="F70" s="21" t="str">
        <x:v>The Quiet Family belongs to the following genres: drama film, comedy film and comedy horror.</x:v>
      </x:c>
      <x:c r="G70" s="2" t="str">
        <x:v>A0</x:v>
      </x:c>
      <x:c r="H70" s="2" t="str">
        <x:v>自动评审01</x:v>
      </x:c>
      <x:c r="I70" s="16" t="n">
        <x:v>2</x:v>
      </x:c>
      <x:c r="J70" s="16" t="n">
        <x:v>2</x:v>
      </x:c>
      <x:c r="K70" s="16" t="n">
        <x:v>5</x:v>
      </x:c>
      <x:c r="L70" s="16" t="n">
        <x:v>0</x:v>
      </x:c>
      <x:c r="M70" s="21" t="str">
        <x:v>剧情片、喜剧片及恐怖喜剧三项全部符合参考，句子完整自然。</x:v>
      </x:c>
      <x:c r="N70" s="2" t="str">
        <x:v>gpt-6.1-sol</x:v>
      </x:c>
      <x:c r="O70" s="2" t="str">
        <x:v>ultra</x:v>
      </x:c>
      <x:c r="P70" s="16" t="n">
        <x:f>IF(I70=I270,1,0)</x:f>
        <x:v>1</x:v>
      </x:c>
      <x:c r="Q70" s="16" t="n">
        <x:f>IF(J70=J270,1,0)</x:f>
        <x:v>1</x:v>
      </x:c>
      <x:c r="R70" s="16" t="n">
        <x:f>IF(K70=K270,1,0)</x:f>
        <x:v>1</x:v>
      </x:c>
      <x:c r="S70" s="16" t="n">
        <x:f>IF(L70=L270,1,0)</x:f>
        <x:v>1</x:v>
      </x:c>
      <x:c r="T70" s="16" t="n">
        <x:f>IF(SUM(P70:S70)=4,1,0)</x:f>
        <x:v>1</x:v>
      </x:c>
    </x:row>
    <x:row r="71" ht="54" customHeight="1">
      <x:c r="A71" s="16" t="n">
        <x:v>33</x:v>
      </x:c>
      <x:c r="B71" s="2" t="str">
        <x:v>Q492851_P136_1</x:v>
      </x:c>
      <x:c r="C71" s="21" t="str">
        <x:v>Which genres does The Quiet Family belong to?</x:v>
      </x:c>
      <x:c r="D71" s="21" t="str">
        <x:v>The Quiet Family belongs to the following genres: drama film, comedy film and comedy horror. || The genres of The Quiet Family are drama film, comedy film and comedy horror.</x:v>
      </x:c>
      <x:c r="E71" s="16" t="n">
        <x:v>2</x:v>
      </x:c>
      <x:c r="F71" s="21" t="str">
        <x:v>The Quiet Family belongs to the following genres: drama film, comedy film and comedy horror.</x:v>
      </x:c>
      <x:c r="G71" s="2" t="str">
        <x:v>B0</x:v>
      </x:c>
      <x:c r="H71" s="2" t="str">
        <x:v>自动评审01</x:v>
      </x:c>
      <x:c r="I71" s="16" t="n">
        <x:v>2</x:v>
      </x:c>
      <x:c r="J71" s="16" t="n">
        <x:v>2</x:v>
      </x:c>
      <x:c r="K71" s="16" t="n">
        <x:v>5</x:v>
      </x:c>
      <x:c r="L71" s="16" t="n">
        <x:v>0</x:v>
      </x:c>
      <x:c r="M71" s="21" t="str">
        <x:v>完整给出 The Quiet Family 的 drama film、comedy film 和 comedy horror，无新类型，表达流畅。</x:v>
      </x:c>
      <x:c r="N71" s="2" t="str">
        <x:v>gpt-6.1-sol</x:v>
      </x:c>
      <x:c r="O71" s="2" t="str">
        <x:v>ultra</x:v>
      </x:c>
      <x:c r="P71" s="16" t="n">
        <x:f>IF(I71=I271,1,0)</x:f>
        <x:v>1</x:v>
      </x:c>
      <x:c r="Q71" s="16" t="n">
        <x:f>IF(J71=J271,1,0)</x:f>
        <x:v>1</x:v>
      </x:c>
      <x:c r="R71" s="16" t="n">
        <x:f>IF(K71=K271,1,0)</x:f>
        <x:v>1</x:v>
      </x:c>
      <x:c r="S71" s="16" t="n">
        <x:f>IF(L71=L271,1,0)</x:f>
        <x:v>1</x:v>
      </x:c>
      <x:c r="T71" s="16" t="n">
        <x:f>IF(SUM(P71:S71)=4,1,0)</x:f>
        <x:v>1</x:v>
      </x:c>
    </x:row>
    <x:row r="72" ht="40" customHeight="1">
      <x:c r="A72" s="16" t="n">
        <x:v>34</x:v>
      </x:c>
      <x:c r="B72" s="2" t="str">
        <x:v>Q1125282_P57_2</x:v>
      </x:c>
      <x:c r="C72" s="21" t="str">
        <x:v>Name the director or directors of Man on the Moon.</x:v>
      </x:c>
      <x:c r="D72" s="21" t="str">
        <x:v>Man on the Moon was directed by Miloš Forman. || The director or directors of Man on the Moon are Miloš Forman.</x:v>
      </x:c>
      <x:c r="E72" s="16" t="n">
        <x:v>1</x:v>
      </x:c>
      <x:c r="F72" s="21" t="str">
        <x:v>Man on the Moon was directed by Milo Forman.</x:v>
      </x:c>
      <x:c r="G72" s="2" t="str">
        <x:v>B0</x:v>
      </x:c>
      <x:c r="H72" s="2" t="str">
        <x:v>自动评审01</x:v>
      </x:c>
      <x:c r="I72" s="16" t="n">
        <x:v>1</x:v>
      </x:c>
      <x:c r="J72" s="16" t="n">
        <x:v>1</x:v>
      </x:c>
      <x:c r="K72" s="16" t="n">
        <x:v>4</x:v>
      </x:c>
      <x:c r="L72" s="16" t="n">
        <x:v>0</x:v>
      </x:c>
      <x:c r="M72" s="21" t="str">
        <x:v>导演姓氏 Forman 正确，但 Milo 比参考 Miloš 少末尾字母，人物身份写法不确定、姓名信息仅部分保留；句意清楚。</x:v>
      </x:c>
      <x:c r="N72" s="2" t="str">
        <x:v>gpt-6.1-sol</x:v>
      </x:c>
      <x:c r="O72" s="2" t="str">
        <x:v>ultra</x:v>
      </x:c>
      <x:c r="P72" s="16" t="n">
        <x:f>IF(I72=I272,1,0)</x:f>
        <x:v>0</x:v>
      </x:c>
      <x:c r="Q72" s="16" t="n">
        <x:f>IF(J72=J272,1,0)</x:f>
        <x:v>0</x:v>
      </x:c>
      <x:c r="R72" s="16" t="n">
        <x:f>IF(K72=K272,1,0)</x:f>
        <x:v>1</x:v>
      </x:c>
      <x:c r="S72" s="16" t="n">
        <x:f>IF(L72=L272,1,0)</x:f>
        <x:v>1</x:v>
      </x:c>
      <x:c r="T72" s="16" t="n">
        <x:f>IF(SUM(P72:S72)=4,1,0)</x:f>
        <x:v>0</x:v>
      </x:c>
    </x:row>
    <x:row r="73" ht="40" customHeight="1">
      <x:c r="A73" s="16" t="n">
        <x:v>34</x:v>
      </x:c>
      <x:c r="B73" s="2" t="str">
        <x:v>Q1125282_P57_2</x:v>
      </x:c>
      <x:c r="C73" s="21" t="str">
        <x:v>Name the director or directors of Man on the Moon.</x:v>
      </x:c>
      <x:c r="D73" s="21" t="str">
        <x:v>Man on the Moon was directed by Miloš Forman. || The director or directors of Man on the Moon are Miloš Forman.</x:v>
      </x:c>
      <x:c r="E73" s="16" t="n">
        <x:v>2</x:v>
      </x:c>
      <x:c r="F73" s="21" t="str">
        <x:v>Man on the Moon was directed by Miloš Forman.</x:v>
      </x:c>
      <x:c r="G73" s="2" t="str">
        <x:v>A0</x:v>
      </x:c>
      <x:c r="H73" s="2" t="str">
        <x:v>自动评审01</x:v>
      </x:c>
      <x:c r="I73" s="16" t="n">
        <x:v>2</x:v>
      </x:c>
      <x:c r="J73" s="16" t="n">
        <x:v>2</x:v>
      </x:c>
      <x:c r="K73" s="16" t="n">
        <x:v>5</x:v>
      </x:c>
      <x:c r="L73" s="16" t="n">
        <x:v>0</x:v>
      </x:c>
      <x:c r="M73" s="21" t="str">
        <x:v>完整正确给出 Miloš Forman，电影与导演关系符合参考；姓名特殊字母不构成语言问题。</x:v>
      </x:c>
      <x:c r="N73" s="2" t="str">
        <x:v>gpt-6.1-sol</x:v>
      </x:c>
      <x:c r="O73" s="2" t="str">
        <x:v>ultra</x:v>
      </x:c>
      <x:c r="P73" s="16" t="n">
        <x:f>IF(I73=I273,1,0)</x:f>
        <x:v>1</x:v>
      </x:c>
      <x:c r="Q73" s="16" t="n">
        <x:f>IF(J73=J273,1,0)</x:f>
        <x:v>1</x:v>
      </x:c>
      <x:c r="R73" s="16" t="n">
        <x:f>IF(K73=K273,1,0)</x:f>
        <x:v>1</x:v>
      </x:c>
      <x:c r="S73" s="16" t="n">
        <x:f>IF(L73=L273,1,0)</x:f>
        <x:v>1</x:v>
      </x:c>
      <x:c r="T73" s="16" t="n">
        <x:f>IF(SUM(P73:S73)=4,1,0)</x:f>
        <x:v>1</x:v>
      </x:c>
    </x:row>
    <x:row r="74" ht="40" customHeight="1">
      <x:c r="A74" s="16" t="n">
        <x:v>35</x:v>
      </x:c>
      <x:c r="B74" s="2" t="str">
        <x:v>Q16781911_P364_1</x:v>
      </x:c>
      <x:c r="C74" s="21" t="str">
        <x:v>Which languages was Taken 3 originally made in?</x:v>
      </x:c>
      <x:c r="D74" s="21" t="str">
        <x:v>The original languages of Taken 3 are English. || Taken 3 was originally made in English.</x:v>
      </x:c>
      <x:c r="E74" s="16" t="n">
        <x:v>1</x:v>
      </x:c>
      <x:c r="F74" s="21" t="str">
        <x:v>The original languages of Taken 3 are English.</x:v>
      </x:c>
      <x:c r="G74" s="2" t="str">
        <x:v>A0</x:v>
      </x:c>
      <x:c r="H74" s="2" t="str">
        <x:v>自动评审01</x:v>
      </x:c>
      <x:c r="I74" s="16" t="n">
        <x:v>2</x:v>
      </x:c>
      <x:c r="J74" s="16" t="n">
        <x:v>2</x:v>
      </x:c>
      <x:c r="K74" s="16" t="n">
        <x:v>4</x:v>
      </x:c>
      <x:c r="L74" s="16" t="n">
        <x:v>0</x:v>
      </x:c>
      <x:c r="M74" s="21" t="str">
        <x:v>Taken 3 的原始语言 English 正确完整；仅一项语言却写 languages are，措辞略生硬。</x:v>
      </x:c>
      <x:c r="N74" s="2" t="str">
        <x:v>gpt-6.1-sol</x:v>
      </x:c>
      <x:c r="O74" s="2" t="str">
        <x:v>ultra</x:v>
      </x:c>
      <x:c r="P74" s="16" t="n">
        <x:f>IF(I74=I274,1,0)</x:f>
        <x:v>1</x:v>
      </x:c>
      <x:c r="Q74" s="16" t="n">
        <x:f>IF(J74=J274,1,0)</x:f>
        <x:v>1</x:v>
      </x:c>
      <x:c r="R74" s="16" t="n">
        <x:f>IF(K74=K274,1,0)</x:f>
        <x:v>1</x:v>
      </x:c>
      <x:c r="S74" s="16" t="n">
        <x:f>IF(L74=L274,1,0)</x:f>
        <x:v>1</x:v>
      </x:c>
      <x:c r="T74" s="16" t="n">
        <x:f>IF(SUM(P74:S74)=4,1,0)</x:f>
        <x:v>1</x:v>
      </x:c>
    </x:row>
    <x:row r="75" ht="40" customHeight="1">
      <x:c r="A75" s="16" t="n">
        <x:v>35</x:v>
      </x:c>
      <x:c r="B75" s="2" t="str">
        <x:v>Q16781911_P364_1</x:v>
      </x:c>
      <x:c r="C75" s="21" t="str">
        <x:v>Which languages was Taken 3 originally made in?</x:v>
      </x:c>
      <x:c r="D75" s="21" t="str">
        <x:v>The original languages of Taken 3 are English. || Taken 3 was originally made in English.</x:v>
      </x:c>
      <x:c r="E75" s="16" t="n">
        <x:v>2</x:v>
      </x:c>
      <x:c r="F75" s="21" t="str">
        <x:v>The original languages of Taken 3 are English.</x:v>
      </x:c>
      <x:c r="G75" s="2" t="str">
        <x:v>B0</x:v>
      </x:c>
      <x:c r="H75" s="2" t="str">
        <x:v>自动评审01</x:v>
      </x:c>
      <x:c r="I75" s="16" t="n">
        <x:v>2</x:v>
      </x:c>
      <x:c r="J75" s="16" t="n">
        <x:v>2</x:v>
      </x:c>
      <x:c r="K75" s="16" t="n">
        <x:v>4</x:v>
      </x:c>
      <x:c r="L75" s="16" t="n">
        <x:v>0</x:v>
      </x:c>
      <x:c r="M75" s="21" t="str">
        <x:v>English 覆盖全部参考语言事实；单项列表使用复数 languages 不够自然。</x:v>
      </x:c>
      <x:c r="N75" s="2" t="str">
        <x:v>gpt-6.1-sol</x:v>
      </x:c>
      <x:c r="O75" s="2" t="str">
        <x:v>ultra</x:v>
      </x:c>
      <x:c r="P75" s="16" t="n">
        <x:f>IF(I75=I275,1,0)</x:f>
        <x:v>1</x:v>
      </x:c>
      <x:c r="Q75" s="16" t="n">
        <x:f>IF(J75=J275,1,0)</x:f>
        <x:v>1</x:v>
      </x:c>
      <x:c r="R75" s="16" t="n">
        <x:f>IF(K75=K275,1,0)</x:f>
        <x:v>1</x:v>
      </x:c>
      <x:c r="S75" s="16" t="n">
        <x:f>IF(L75=L275,1,0)</x:f>
        <x:v>1</x:v>
      </x:c>
      <x:c r="T75" s="16" t="n">
        <x:f>IF(SUM(P75:S75)=4,1,0)</x:f>
        <x:v>1</x:v>
      </x:c>
    </x:row>
    <x:row r="76" ht="54" customHeight="1">
      <x:c r="A76" s="16" t="n">
        <x:v>36</x:v>
      </x:c>
      <x:c r="B76" s="2" t="str">
        <x:v>Q16403_P495_1</x:v>
      </x:c>
      <x:c r="C76" s="21" t="str">
        <x:v>What is the country of origin of And Now for Something Completely Different?</x:v>
      </x:c>
      <x:c r="D76" s="21" t="str">
        <x:v>And Now for Something Completely Different originated in United Kingdom. || The countries of origin of And Now for Something Completely Different are United Kingdom.</x:v>
      </x:c>
      <x:c r="E76" s="16" t="n">
        <x:v>1</x:v>
      </x:c>
      <x:c r="F76" s="21" t="str">
        <x:v>And Now for Something Completely Different originated in United Kingdom.</x:v>
      </x:c>
      <x:c r="G76" s="2" t="str">
        <x:v>B0</x:v>
      </x:c>
      <x:c r="H76" s="2" t="str">
        <x:v>自动评审01</x:v>
      </x:c>
      <x:c r="I76" s="16" t="n">
        <x:v>2</x:v>
      </x:c>
      <x:c r="J76" s="16" t="n">
        <x:v>2</x:v>
      </x:c>
      <x:c r="K76" s="16" t="n">
        <x:v>4</x:v>
      </x:c>
      <x:c r="L76" s="16" t="n">
        <x:v>0</x:v>
      </x:c>
      <x:c r="M76" s="21" t="str">
        <x:v>正确给出英国这一唯一产地；United Kingdom 前缺少定冠词 the。</x:v>
      </x:c>
      <x:c r="N76" s="2" t="str">
        <x:v>gpt-6.1-sol</x:v>
      </x:c>
      <x:c r="O76" s="2" t="str">
        <x:v>ultra</x:v>
      </x:c>
      <x:c r="P76" s="16" t="n">
        <x:f>IF(I76=I276,1,0)</x:f>
        <x:v>1</x:v>
      </x:c>
      <x:c r="Q76" s="16" t="n">
        <x:f>IF(J76=J276,1,0)</x:f>
        <x:v>1</x:v>
      </x:c>
      <x:c r="R76" s="16" t="n">
        <x:f>IF(K76=K276,1,0)</x:f>
        <x:v>1</x:v>
      </x:c>
      <x:c r="S76" s="16" t="n">
        <x:f>IF(L76=L276,1,0)</x:f>
        <x:v>1</x:v>
      </x:c>
      <x:c r="T76" s="16" t="n">
        <x:f>IF(SUM(P76:S76)=4,1,0)</x:f>
        <x:v>1</x:v>
      </x:c>
    </x:row>
    <x:row r="77" ht="54" customHeight="1">
      <x:c r="A77" s="16" t="n">
        <x:v>36</x:v>
      </x:c>
      <x:c r="B77" s="2" t="str">
        <x:v>Q16403_P495_1</x:v>
      </x:c>
      <x:c r="C77" s="21" t="str">
        <x:v>What is the country of origin of And Now for Something Completely Different?</x:v>
      </x:c>
      <x:c r="D77" s="21" t="str">
        <x:v>And Now for Something Completely Different originated in United Kingdom. || The countries of origin of And Now for Something Completely Different are United Kingdom.</x:v>
      </x:c>
      <x:c r="E77" s="16" t="n">
        <x:v>2</x:v>
      </x:c>
      <x:c r="F77" s="21" t="str">
        <x:v>And Now for Something Completely Different originated in United Kingdom.</x:v>
      </x:c>
      <x:c r="G77" s="2" t="str">
        <x:v>A0</x:v>
      </x:c>
      <x:c r="H77" s="2" t="str">
        <x:v>自动评审01</x:v>
      </x:c>
      <x:c r="I77" s="16" t="n">
        <x:v>2</x:v>
      </x:c>
      <x:c r="J77" s="16" t="n">
        <x:v>2</x:v>
      </x:c>
      <x:c r="K77" s="16" t="n">
        <x:v>4</x:v>
      </x:c>
      <x:c r="L77" s="16" t="n">
        <x:v>0</x:v>
      </x:c>
      <x:c r="M77" s="21" t="str">
        <x:v>And Now for Something Completely Different 的英国产地完整正确；国名漏 the 但理解无碍。</x:v>
      </x:c>
      <x:c r="N77" s="2" t="str">
        <x:v>gpt-6.1-sol</x:v>
      </x:c>
      <x:c r="O77" s="2" t="str">
        <x:v>ultra</x:v>
      </x:c>
      <x:c r="P77" s="16" t="n">
        <x:f>IF(I77=I277,1,0)</x:f>
        <x:v>1</x:v>
      </x:c>
      <x:c r="Q77" s="16" t="n">
        <x:f>IF(J77=J277,1,0)</x:f>
        <x:v>1</x:v>
      </x:c>
      <x:c r="R77" s="16" t="n">
        <x:f>IF(K77=K277,1,0)</x:f>
        <x:v>1</x:v>
      </x:c>
      <x:c r="S77" s="16" t="n">
        <x:f>IF(L77=L277,1,0)</x:f>
        <x:v>1</x:v>
      </x:c>
      <x:c r="T77" s="16" t="n">
        <x:f>IF(SUM(P77:S77)=4,1,0)</x:f>
        <x:v>1</x:v>
      </x:c>
    </x:row>
    <x:row r="78" ht="40" customHeight="1">
      <x:c r="A78" s="16" t="n">
        <x:v>37</x:v>
      </x:c>
      <x:c r="B78" s="2" t="str">
        <x:v>Q16954098_P57_0</x:v>
      </x:c>
      <x:c r="C78" s="21" t="str">
        <x:v>Who directed Brooklyn?</x:v>
      </x:c>
      <x:c r="D78" s="21" t="str">
        <x:v>Brooklyn was directed by John Crowley. || The director or directors of Brooklyn are John Crowley.</x:v>
      </x:c>
      <x:c r="E78" s="16" t="n">
        <x:v>1</x:v>
      </x:c>
      <x:c r="F78" s="21" t="str">
        <x:v>Brooklyn was directed by John Crowley.</x:v>
      </x:c>
      <x:c r="G78" s="2" t="str">
        <x:v>A0</x:v>
      </x:c>
      <x:c r="H78" s="2" t="str">
        <x:v>自动评审01</x:v>
      </x:c>
      <x:c r="I78" s="16" t="n">
        <x:v>2</x:v>
      </x:c>
      <x:c r="J78" s="16" t="n">
        <x:v>2</x:v>
      </x:c>
      <x:c r="K78" s="16" t="n">
        <x:v>5</x:v>
      </x:c>
      <x:c r="L78" s="16" t="n">
        <x:v>0</x:v>
      </x:c>
      <x:c r="M78" s="21" t="str">
        <x:v>Brooklyn 的导演 John Crowley 与参考一致，关系正确，回答完整流畅。</x:v>
      </x:c>
      <x:c r="N78" s="2" t="str">
        <x:v>gpt-6.1-sol</x:v>
      </x:c>
      <x:c r="O78" s="2" t="str">
        <x:v>ultra</x:v>
      </x:c>
      <x:c r="P78" s="16" t="n">
        <x:f>IF(I78=I278,1,0)</x:f>
        <x:v>1</x:v>
      </x:c>
      <x:c r="Q78" s="16" t="n">
        <x:f>IF(J78=J278,1,0)</x:f>
        <x:v>1</x:v>
      </x:c>
      <x:c r="R78" s="16" t="n">
        <x:f>IF(K78=K278,1,0)</x:f>
        <x:v>1</x:v>
      </x:c>
      <x:c r="S78" s="16" t="n">
        <x:f>IF(L78=L278,1,0)</x:f>
        <x:v>1</x:v>
      </x:c>
      <x:c r="T78" s="16" t="n">
        <x:f>IF(SUM(P78:S78)=4,1,0)</x:f>
        <x:v>1</x:v>
      </x:c>
    </x:row>
    <x:row r="79" ht="40" customHeight="1">
      <x:c r="A79" s="16" t="n">
        <x:v>37</x:v>
      </x:c>
      <x:c r="B79" s="2" t="str">
        <x:v>Q16954098_P57_0</x:v>
      </x:c>
      <x:c r="C79" s="21" t="str">
        <x:v>Who directed Brooklyn?</x:v>
      </x:c>
      <x:c r="D79" s="21" t="str">
        <x:v>Brooklyn was directed by John Crowley. || The director or directors of Brooklyn are John Crowley.</x:v>
      </x:c>
      <x:c r="E79" s="16" t="n">
        <x:v>2</x:v>
      </x:c>
      <x:c r="F79" s="21" t="str">
        <x:v>Brooklyn was directed by John Crowley.</x:v>
      </x:c>
      <x:c r="G79" s="2" t="str">
        <x:v>B0</x:v>
      </x:c>
      <x:c r="H79" s="2" t="str">
        <x:v>自动评审01</x:v>
      </x:c>
      <x:c r="I79" s="16" t="n">
        <x:v>2</x:v>
      </x:c>
      <x:c r="J79" s="16" t="n">
        <x:v>2</x:v>
      </x:c>
      <x:c r="K79" s="16" t="n">
        <x:v>5</x:v>
      </x:c>
      <x:c r="L79" s="16" t="n">
        <x:v>0</x:v>
      </x:c>
      <x:c r="M79" s="21" t="str">
        <x:v>正确指出 John Crowley 执导 Brooklyn，无遗漏及额外事实，被动句自然。</x:v>
      </x:c>
      <x:c r="N79" s="2" t="str">
        <x:v>gpt-6.1-sol</x:v>
      </x:c>
      <x:c r="O79" s="2" t="str">
        <x:v>ultra</x:v>
      </x:c>
      <x:c r="P79" s="16" t="n">
        <x:f>IF(I79=I279,1,0)</x:f>
        <x:v>1</x:v>
      </x:c>
      <x:c r="Q79" s="16" t="n">
        <x:f>IF(J79=J279,1,0)</x:f>
        <x:v>1</x:v>
      </x:c>
      <x:c r="R79" s="16" t="n">
        <x:f>IF(K79=K279,1,0)</x:f>
        <x:v>1</x:v>
      </x:c>
      <x:c r="S79" s="16" t="n">
        <x:f>IF(L79=L279,1,0)</x:f>
        <x:v>1</x:v>
      </x:c>
      <x:c r="T79" s="16" t="n">
        <x:f>IF(SUM(P79:S79)=4,1,0)</x:f>
        <x:v>1</x:v>
      </x:c>
    </x:row>
    <x:row r="80" ht="40" customHeight="1">
      <x:c r="A80" s="16" t="n">
        <x:v>38</x:v>
      </x:c>
      <x:c r="B80" s="2" t="str">
        <x:v>Q1436798_P364_2</x:v>
      </x:c>
      <x:c r="C80" s="21" t="str">
        <x:v>Name the original language or languages of The Bishop's Wife.</x:v>
      </x:c>
      <x:c r="D80" s="21" t="str">
        <x:v>The original languages of The Bishop's Wife are English. || The Bishop's Wife was originally made in English.</x:v>
      </x:c>
      <x:c r="E80" s="16" t="n">
        <x:v>1</x:v>
      </x:c>
      <x:c r="F80" s="21" t="str">
        <x:v>The original languages of The Bishop's Wife are English.</x:v>
      </x:c>
      <x:c r="G80" s="2" t="str">
        <x:v>A0</x:v>
      </x:c>
      <x:c r="H80" s="2" t="str">
        <x:v>自动评审01</x:v>
      </x:c>
      <x:c r="I80" s="16" t="n">
        <x:v>2</x:v>
      </x:c>
      <x:c r="J80" s="16" t="n">
        <x:v>2</x:v>
      </x:c>
      <x:c r="K80" s="16" t="n">
        <x:v>4</x:v>
      </x:c>
      <x:c r="L80" s="16" t="n">
        <x:v>0</x:v>
      </x:c>
      <x:c r="M80" s="21" t="str">
        <x:v>English 为参考唯一原始语言，答案完整正确；复数 languages are 用于单项略别扭。</x:v>
      </x:c>
      <x:c r="N80" s="2" t="str">
        <x:v>gpt-6.1-sol</x:v>
      </x:c>
      <x:c r="O80" s="2" t="str">
        <x:v>ultra</x:v>
      </x:c>
      <x:c r="P80" s="16" t="n">
        <x:f>IF(I80=I280,1,0)</x:f>
        <x:v>1</x:v>
      </x:c>
      <x:c r="Q80" s="16" t="n">
        <x:f>IF(J80=J280,1,0)</x:f>
        <x:v>1</x:v>
      </x:c>
      <x:c r="R80" s="16" t="n">
        <x:f>IF(K80=K280,1,0)</x:f>
        <x:v>1</x:v>
      </x:c>
      <x:c r="S80" s="16" t="n">
        <x:f>IF(L80=L280,1,0)</x:f>
        <x:v>1</x:v>
      </x:c>
      <x:c r="T80" s="16" t="n">
        <x:f>IF(SUM(P80:S80)=4,1,0)</x:f>
        <x:v>1</x:v>
      </x:c>
    </x:row>
    <x:row r="81" ht="40" customHeight="1">
      <x:c r="A81" s="16" t="n">
        <x:v>38</x:v>
      </x:c>
      <x:c r="B81" s="2" t="str">
        <x:v>Q1436798_P364_2</x:v>
      </x:c>
      <x:c r="C81" s="21" t="str">
        <x:v>Name the original language or languages of The Bishop's Wife.</x:v>
      </x:c>
      <x:c r="D81" s="21" t="str">
        <x:v>The original languages of The Bishop's Wife are English. || The Bishop's Wife was originally made in English.</x:v>
      </x:c>
      <x:c r="E81" s="16" t="n">
        <x:v>2</x:v>
      </x:c>
      <x:c r="F81" s="21" t="str">
        <x:v>The original languages of The Bishop's Wife are English.</x:v>
      </x:c>
      <x:c r="G81" s="2" t="str">
        <x:v>B0</x:v>
      </x:c>
      <x:c r="H81" s="2" t="str">
        <x:v>自动评审01</x:v>
      </x:c>
      <x:c r="I81" s="16" t="n">
        <x:v>2</x:v>
      </x:c>
      <x:c r="J81" s="16" t="n">
        <x:v>2</x:v>
      </x:c>
      <x:c r="K81" s="16" t="n">
        <x:v>4</x:v>
      </x:c>
      <x:c r="L81" s="16" t="n">
        <x:v>0</x:v>
      </x:c>
      <x:c r="M81" s="21" t="str">
        <x:v>The Bishop's Wife 的英语语言信息无误且齐全；单一语言的复数措辞稍生硬。</x:v>
      </x:c>
      <x:c r="N81" s="2" t="str">
        <x:v>gpt-6.1-sol</x:v>
      </x:c>
      <x:c r="O81" s="2" t="str">
        <x:v>ultra</x:v>
      </x:c>
      <x:c r="P81" s="16" t="n">
        <x:f>IF(I81=I281,1,0)</x:f>
        <x:v>1</x:v>
      </x:c>
      <x:c r="Q81" s="16" t="n">
        <x:f>IF(J81=J281,1,0)</x:f>
        <x:v>1</x:v>
      </x:c>
      <x:c r="R81" s="16" t="n">
        <x:f>IF(K81=K281,1,0)</x:f>
        <x:v>1</x:v>
      </x:c>
      <x:c r="S81" s="16" t="n">
        <x:f>IF(L81=L281,1,0)</x:f>
        <x:v>1</x:v>
      </x:c>
      <x:c r="T81" s="16" t="n">
        <x:f>IF(SUM(P81:S81)=4,1,0)</x:f>
        <x:v>1</x:v>
      </x:c>
    </x:row>
    <x:row r="82" ht="40" customHeight="1">
      <x:c r="A82" s="16" t="n">
        <x:v>39</x:v>
      </x:c>
      <x:c r="B82" s="2" t="str">
        <x:v>Q113052_P136_0</x:v>
      </x:c>
      <x:c r="C82" s="21" t="str">
        <x:v>What genre is Elizabethtown?</x:v>
      </x:c>
      <x:c r="D82" s="21" t="str">
        <x:v>Elizabethtown belongs to the following genres: romantic comedy. || The genres of Elizabethtown are romantic comedy.</x:v>
      </x:c>
      <x:c r="E82" s="16" t="n">
        <x:v>1</x:v>
      </x:c>
      <x:c r="F82" s="21" t="str">
        <x:v>Elizabethtown belongs to the following genres: romantic comedy.</x:v>
      </x:c>
      <x:c r="G82" s="2" t="str">
        <x:v>A0</x:v>
      </x:c>
      <x:c r="H82" s="2" t="str">
        <x:v>自动评审01</x:v>
      </x:c>
      <x:c r="I82" s="16" t="n">
        <x:v>2</x:v>
      </x:c>
      <x:c r="J82" s="16" t="n">
        <x:v>2</x:v>
      </x:c>
      <x:c r="K82" s="16" t="n">
        <x:v>4</x:v>
      </x:c>
      <x:c r="L82" s="16" t="n">
        <x:v>0</x:v>
      </x:c>
      <x:c r="M82" s="21" t="str">
        <x:v>浪漫喜剧这一参考类型正确完整；仅一个类型却用 following genres，复数措辞略不自然。</x:v>
      </x:c>
      <x:c r="N82" s="2" t="str">
        <x:v>gpt-6.1-sol</x:v>
      </x:c>
      <x:c r="O82" s="2" t="str">
        <x:v>ultra</x:v>
      </x:c>
      <x:c r="P82" s="16" t="n">
        <x:f>IF(I82=I282,1,0)</x:f>
        <x:v>1</x:v>
      </x:c>
      <x:c r="Q82" s="16" t="n">
        <x:f>IF(J82=J282,1,0)</x:f>
        <x:v>1</x:v>
      </x:c>
      <x:c r="R82" s="16" t="n">
        <x:f>IF(K82=K282,1,0)</x:f>
        <x:v>1</x:v>
      </x:c>
      <x:c r="S82" s="16" t="n">
        <x:f>IF(L82=L282,1,0)</x:f>
        <x:v>1</x:v>
      </x:c>
      <x:c r="T82" s="16" t="n">
        <x:f>IF(SUM(P82:S82)=4,1,0)</x:f>
        <x:v>1</x:v>
      </x:c>
    </x:row>
    <x:row r="83" ht="40" customHeight="1">
      <x:c r="A83" s="16" t="n">
        <x:v>39</x:v>
      </x:c>
      <x:c r="B83" s="2" t="str">
        <x:v>Q113052_P136_0</x:v>
      </x:c>
      <x:c r="C83" s="21" t="str">
        <x:v>What genre is Elizabethtown?</x:v>
      </x:c>
      <x:c r="D83" s="21" t="str">
        <x:v>Elizabethtown belongs to the following genres: romantic comedy. || The genres of Elizabethtown are romantic comedy.</x:v>
      </x:c>
      <x:c r="E83" s="16" t="n">
        <x:v>2</x:v>
      </x:c>
      <x:c r="F83" s="21" t="str">
        <x:v>Elizabethtown belongs to the following genres: romantic comedy.</x:v>
      </x:c>
      <x:c r="G83" s="2" t="str">
        <x:v>B0</x:v>
      </x:c>
      <x:c r="H83" s="2" t="str">
        <x:v>自动评审01</x:v>
      </x:c>
      <x:c r="I83" s="16" t="n">
        <x:v>2</x:v>
      </x:c>
      <x:c r="J83" s="16" t="n">
        <x:v>2</x:v>
      </x:c>
      <x:c r="K83" s="16" t="n">
        <x:v>4</x:v>
      </x:c>
      <x:c r="L83" s="16" t="n">
        <x:v>0</x:v>
      </x:c>
      <x:c r="M83" s="21" t="str">
        <x:v>Elizabethtown 的 romantic comedy 类型准确，无新增事实；单项列表用 genres 略生硬。</x:v>
      </x:c>
      <x:c r="N83" s="2" t="str">
        <x:v>gpt-6.1-sol</x:v>
      </x:c>
      <x:c r="O83" s="2" t="str">
        <x:v>ultra</x:v>
      </x:c>
      <x:c r="P83" s="16" t="n">
        <x:f>IF(I83=I283,1,0)</x:f>
        <x:v>1</x:v>
      </x:c>
      <x:c r="Q83" s="16" t="n">
        <x:f>IF(J83=J283,1,0)</x:f>
        <x:v>1</x:v>
      </x:c>
      <x:c r="R83" s="16" t="n">
        <x:f>IF(K83=K283,1,0)</x:f>
        <x:v>1</x:v>
      </x:c>
      <x:c r="S83" s="16" t="n">
        <x:f>IF(L83=L283,1,0)</x:f>
        <x:v>1</x:v>
      </x:c>
      <x:c r="T83" s="16" t="n">
        <x:f>IF(SUM(P83:S83)=4,1,0)</x:f>
        <x:v>1</x:v>
      </x:c>
    </x:row>
    <x:row r="84" ht="40" customHeight="1">
      <x:c r="A84" s="16" t="n">
        <x:v>40</x:v>
      </x:c>
      <x:c r="B84" s="2" t="str">
        <x:v>Q202548_P495_1</x:v>
      </x:c>
      <x:c r="C84" s="21" t="str">
        <x:v>What is the country of origin of Vertigo?</x:v>
      </x:c>
      <x:c r="D84" s="21" t="str">
        <x:v>Vertigo originated in United States. || The countries of origin of Vertigo are United States.</x:v>
      </x:c>
      <x:c r="E84" s="16" t="n">
        <x:v>1</x:v>
      </x:c>
      <x:c r="F84" s="21" t="str">
        <x:v>Vertigo originated in United States.</x:v>
      </x:c>
      <x:c r="G84" s="2" t="str">
        <x:v>B0</x:v>
      </x:c>
      <x:c r="H84" s="2" t="str">
        <x:v>自动评审01</x:v>
      </x:c>
      <x:c r="I84" s="16" t="n">
        <x:v>2</x:v>
      </x:c>
      <x:c r="J84" s="16" t="n">
        <x:v>2</x:v>
      </x:c>
      <x:c r="K84" s="16" t="n">
        <x:v>4</x:v>
      </x:c>
      <x:c r="L84" s="16" t="n">
        <x:v>0</x:v>
      </x:c>
      <x:c r="M84" s="21" t="str">
        <x:v>Vertigo 的美国来源正确齐全；United States 前缺少 the。</x:v>
      </x:c>
      <x:c r="N84" s="2" t="str">
        <x:v>gpt-6.1-sol</x:v>
      </x:c>
      <x:c r="O84" s="2" t="str">
        <x:v>ultra</x:v>
      </x:c>
      <x:c r="P84" s="16" t="n">
        <x:f>IF(I84=I284,1,0)</x:f>
        <x:v>1</x:v>
      </x:c>
      <x:c r="Q84" s="16" t="n">
        <x:f>IF(J84=J284,1,0)</x:f>
        <x:v>1</x:v>
      </x:c>
      <x:c r="R84" s="16" t="n">
        <x:f>IF(K84=K284,1,0)</x:f>
        <x:v>1</x:v>
      </x:c>
      <x:c r="S84" s="16" t="n">
        <x:f>IF(L84=L284,1,0)</x:f>
        <x:v>1</x:v>
      </x:c>
      <x:c r="T84" s="16" t="n">
        <x:f>IF(SUM(P84:S84)=4,1,0)</x:f>
        <x:v>1</x:v>
      </x:c>
    </x:row>
    <x:row r="85" ht="40" customHeight="1">
      <x:c r="A85" s="16" t="n">
        <x:v>40</x:v>
      </x:c>
      <x:c r="B85" s="2" t="str">
        <x:v>Q202548_P495_1</x:v>
      </x:c>
      <x:c r="C85" s="21" t="str">
        <x:v>What is the country of origin of Vertigo?</x:v>
      </x:c>
      <x:c r="D85" s="21" t="str">
        <x:v>Vertigo originated in United States. || The countries of origin of Vertigo are United States.</x:v>
      </x:c>
      <x:c r="E85" s="16" t="n">
        <x:v>2</x:v>
      </x:c>
      <x:c r="F85" s="21" t="str">
        <x:v>Vertigo originated in United States.</x:v>
      </x:c>
      <x:c r="G85" s="2" t="str">
        <x:v>A0</x:v>
      </x:c>
      <x:c r="H85" s="2" t="str">
        <x:v>自动评审01</x:v>
      </x:c>
      <x:c r="I85" s="16" t="n">
        <x:v>2</x:v>
      </x:c>
      <x:c r="J85" s="16" t="n">
        <x:v>2</x:v>
      </x:c>
      <x:c r="K85" s="16" t="n">
        <x:v>4</x:v>
      </x:c>
      <x:c r="L85" s="16" t="n">
        <x:v>0</x:v>
      </x:c>
      <x:c r="M85" s="21" t="str">
        <x:v>美国为唯一参考产地，信息完整；in United States 漏定冠词但意思清楚。</x:v>
      </x:c>
      <x:c r="N85" s="2" t="str">
        <x:v>gpt-6.1-sol</x:v>
      </x:c>
      <x:c r="O85" s="2" t="str">
        <x:v>ultra</x:v>
      </x:c>
      <x:c r="P85" s="16" t="n">
        <x:f>IF(I85=I285,1,0)</x:f>
        <x:v>1</x:v>
      </x:c>
      <x:c r="Q85" s="16" t="n">
        <x:f>IF(J85=J285,1,0)</x:f>
        <x:v>1</x:v>
      </x:c>
      <x:c r="R85" s="16" t="n">
        <x:f>IF(K85=K285,1,0)</x:f>
        <x:v>1</x:v>
      </x:c>
      <x:c r="S85" s="16" t="n">
        <x:f>IF(L85=L285,1,0)</x:f>
        <x:v>1</x:v>
      </x:c>
      <x:c r="T85" s="16" t="n">
        <x:f>IF(SUM(P85:S85)=4,1,0)</x:f>
        <x:v>1</x:v>
      </x:c>
    </x:row>
    <x:row r="86" ht="40" customHeight="1">
      <x:c r="A86" s="16" t="n">
        <x:v>41</x:v>
      </x:c>
      <x:c r="B86" s="2" t="str">
        <x:v>Q172271_P364_1</x:v>
      </x:c>
      <x:c r="C86" s="21" t="str">
        <x:v>Which languages was Maleficent originally made in?</x:v>
      </x:c>
      <x:c r="D86" s="21" t="str">
        <x:v>The original languages of Maleficent are English. || Maleficent was originally made in English.</x:v>
      </x:c>
      <x:c r="E86" s="16" t="n">
        <x:v>1</x:v>
      </x:c>
      <x:c r="F86" s="21" t="str">
        <x:v>The original languages of Maleficent are English.</x:v>
      </x:c>
      <x:c r="G86" s="2" t="str">
        <x:v>A0</x:v>
      </x:c>
      <x:c r="H86" s="2" t="str">
        <x:v>自动评审01</x:v>
      </x:c>
      <x:c r="I86" s="16" t="n">
        <x:v>2</x:v>
      </x:c>
      <x:c r="J86" s="16" t="n">
        <x:v>2</x:v>
      </x:c>
      <x:c r="K86" s="16" t="n">
        <x:v>4</x:v>
      </x:c>
      <x:c r="L86" s="16" t="n">
        <x:v>0</x:v>
      </x:c>
      <x:c r="M86" s="21" t="str">
        <x:v>Maleficent 的 English 原始语言正确且无遗漏；单门语言配复数 languages are 稍不自然。</x:v>
      </x:c>
      <x:c r="N86" s="2" t="str">
        <x:v>gpt-6.1-sol</x:v>
      </x:c>
      <x:c r="O86" s="2" t="str">
        <x:v>ultra</x:v>
      </x:c>
      <x:c r="P86" s="16" t="n">
        <x:f>IF(I86=I286,1,0)</x:f>
        <x:v>1</x:v>
      </x:c>
      <x:c r="Q86" s="16" t="n">
        <x:f>IF(J86=J286,1,0)</x:f>
        <x:v>1</x:v>
      </x:c>
      <x:c r="R86" s="16" t="n">
        <x:f>IF(K86=K286,1,0)</x:f>
        <x:v>1</x:v>
      </x:c>
      <x:c r="S86" s="16" t="n">
        <x:f>IF(L86=L286,1,0)</x:f>
        <x:v>1</x:v>
      </x:c>
      <x:c r="T86" s="16" t="n">
        <x:f>IF(SUM(P86:S86)=4,1,0)</x:f>
        <x:v>1</x:v>
      </x:c>
    </x:row>
    <x:row r="87" ht="40" customHeight="1">
      <x:c r="A87" s="16" t="n">
        <x:v>41</x:v>
      </x:c>
      <x:c r="B87" s="2" t="str">
        <x:v>Q172271_P364_1</x:v>
      </x:c>
      <x:c r="C87" s="21" t="str">
        <x:v>Which languages was Maleficent originally made in?</x:v>
      </x:c>
      <x:c r="D87" s="21" t="str">
        <x:v>The original languages of Maleficent are English. || Maleficent was originally made in English.</x:v>
      </x:c>
      <x:c r="E87" s="16" t="n">
        <x:v>2</x:v>
      </x:c>
      <x:c r="F87" s="21" t="str">
        <x:v>The original languages of Maleficent are English.</x:v>
      </x:c>
      <x:c r="G87" s="2" t="str">
        <x:v>B0</x:v>
      </x:c>
      <x:c r="H87" s="2" t="str">
        <x:v>自动评审01</x:v>
      </x:c>
      <x:c r="I87" s="16" t="n">
        <x:v>2</x:v>
      </x:c>
      <x:c r="J87" s="16" t="n">
        <x:v>2</x:v>
      </x:c>
      <x:c r="K87" s="16" t="n">
        <x:v>4</x:v>
      </x:c>
      <x:c r="L87" s="16" t="n">
        <x:v>0</x:v>
      </x:c>
      <x:c r="M87" s="21" t="str">
        <x:v>英语这一唯一语言完整符合参考，无扩展事实；单项语言用复数措辞略生硬。</x:v>
      </x:c>
      <x:c r="N87" s="2" t="str">
        <x:v>gpt-6.1-sol</x:v>
      </x:c>
      <x:c r="O87" s="2" t="str">
        <x:v>ultra</x:v>
      </x:c>
      <x:c r="P87" s="16" t="n">
        <x:f>IF(I87=I287,1,0)</x:f>
        <x:v>1</x:v>
      </x:c>
      <x:c r="Q87" s="16" t="n">
        <x:f>IF(J87=J287,1,0)</x:f>
        <x:v>1</x:v>
      </x:c>
      <x:c r="R87" s="16" t="n">
        <x:f>IF(K87=K287,1,0)</x:f>
        <x:v>1</x:v>
      </x:c>
      <x:c r="S87" s="16" t="n">
        <x:f>IF(L87=L287,1,0)</x:f>
        <x:v>1</x:v>
      </x:c>
      <x:c r="T87" s="16" t="n">
        <x:f>IF(SUM(P87:S87)=4,1,0)</x:f>
        <x:v>1</x:v>
      </x:c>
    </x:row>
    <x:row r="88" ht="40" customHeight="1">
      <x:c r="A88" s="16" t="n">
        <x:v>42</x:v>
      </x:c>
      <x:c r="B88" s="2" t="str">
        <x:v>Q20982361_P495_2</x:v>
      </x:c>
      <x:c r="C88" s="21" t="str">
        <x:v>Name the countries of origin of Hardcore Henry.</x:v>
      </x:c>
      <x:c r="D88" s="21" t="str">
        <x:v>Hardcore Henry originated in United States and Russia. || The countries of origin of Hardcore Henry are United States and Russia.</x:v>
      </x:c>
      <x:c r="E88" s="16" t="n">
        <x:v>1</x:v>
      </x:c>
      <x:c r="F88" s="21" t="str">
        <x:v>Hardcore Henry originated in United States and Russia.</x:v>
      </x:c>
      <x:c r="G88" s="2" t="str">
        <x:v>B0</x:v>
      </x:c>
      <x:c r="H88" s="2" t="str">
        <x:v>自动评审01</x:v>
      </x:c>
      <x:c r="I88" s="16" t="n">
        <x:v>2</x:v>
      </x:c>
      <x:c r="J88" s="16" t="n">
        <x:v>2</x:v>
      </x:c>
      <x:c r="K88" s="16" t="n">
        <x:v>4</x:v>
      </x:c>
      <x:c r="L88" s="16" t="n">
        <x:v>0</x:v>
      </x:c>
      <x:c r="M88" s="21" t="str">
        <x:v>美国和俄罗斯两国产地均正确列出；United States 前缺少定冠词 the。</x:v>
      </x:c>
      <x:c r="N88" s="2" t="str">
        <x:v>gpt-6.1-sol</x:v>
      </x:c>
      <x:c r="O88" s="2" t="str">
        <x:v>ultra</x:v>
      </x:c>
      <x:c r="P88" s="16" t="n">
        <x:f>IF(I88=I288,1,0)</x:f>
        <x:v>1</x:v>
      </x:c>
      <x:c r="Q88" s="16" t="n">
        <x:f>IF(J88=J288,1,0)</x:f>
        <x:v>1</x:v>
      </x:c>
      <x:c r="R88" s="16" t="n">
        <x:f>IF(K88=K288,1,0)</x:f>
        <x:v>1</x:v>
      </x:c>
      <x:c r="S88" s="16" t="n">
        <x:f>IF(L88=L288,1,0)</x:f>
        <x:v>1</x:v>
      </x:c>
      <x:c r="T88" s="16" t="n">
        <x:f>IF(SUM(P88:S88)=4,1,0)</x:f>
        <x:v>1</x:v>
      </x:c>
    </x:row>
    <x:row r="89" ht="40" customHeight="1">
      <x:c r="A89" s="16" t="n">
        <x:v>42</x:v>
      </x:c>
      <x:c r="B89" s="2" t="str">
        <x:v>Q20982361_P495_2</x:v>
      </x:c>
      <x:c r="C89" s="21" t="str">
        <x:v>Name the countries of origin of Hardcore Henry.</x:v>
      </x:c>
      <x:c r="D89" s="21" t="str">
        <x:v>Hardcore Henry originated in United States and Russia. || The countries of origin of Hardcore Henry are United States and Russia.</x:v>
      </x:c>
      <x:c r="E89" s="16" t="n">
        <x:v>2</x:v>
      </x:c>
      <x:c r="F89" s="21" t="str">
        <x:v>Hardcore Henry originated in United States and Russia.</x:v>
      </x:c>
      <x:c r="G89" s="2" t="str">
        <x:v>A0</x:v>
      </x:c>
      <x:c r="H89" s="2" t="str">
        <x:v>自动评审01</x:v>
      </x:c>
      <x:c r="I89" s="16" t="n">
        <x:v>2</x:v>
      </x:c>
      <x:c r="J89" s="16" t="n">
        <x:v>2</x:v>
      </x:c>
      <x:c r="K89" s="16" t="n">
        <x:v>4</x:v>
      </x:c>
      <x:c r="L89" s="16" t="n">
        <x:v>0</x:v>
      </x:c>
      <x:c r="M89" s="21" t="str">
        <x:v>Hardcore Henry 的 United States、Russia 来源完整正确；美国国名漏 the 但含义清楚。</x:v>
      </x:c>
      <x:c r="N89" s="2" t="str">
        <x:v>gpt-6.1-sol</x:v>
      </x:c>
      <x:c r="O89" s="2" t="str">
        <x:v>ultra</x:v>
      </x:c>
      <x:c r="P89" s="16" t="n">
        <x:f>IF(I89=I289,1,0)</x:f>
        <x:v>1</x:v>
      </x:c>
      <x:c r="Q89" s="16" t="n">
        <x:f>IF(J89=J289,1,0)</x:f>
        <x:v>1</x:v>
      </x:c>
      <x:c r="R89" s="16" t="n">
        <x:f>IF(K89=K289,1,0)</x:f>
        <x:v>1</x:v>
      </x:c>
      <x:c r="S89" s="16" t="n">
        <x:f>IF(L89=L289,1,0)</x:f>
        <x:v>1</x:v>
      </x:c>
      <x:c r="T89" s="16" t="n">
        <x:f>IF(SUM(P89:S89)=4,1,0)</x:f>
        <x:v>1</x:v>
      </x:c>
    </x:row>
    <x:row r="90" ht="40" customHeight="1">
      <x:c r="A90" s="16" t="n">
        <x:v>43</x:v>
      </x:c>
      <x:c r="B90" s="2" t="str">
        <x:v>Q1192679_P57_0</x:v>
      </x:c>
      <x:c r="C90" s="21" t="str">
        <x:v>Who directed Brother?</x:v>
      </x:c>
      <x:c r="D90" s="21" t="str">
        <x:v>Brother was directed by Aleksei Balabanov. || The director or directors of Brother are Aleksei Balabanov.</x:v>
      </x:c>
      <x:c r="E90" s="16" t="n">
        <x:v>1</x:v>
      </x:c>
      <x:c r="F90" s="21" t="str">
        <x:v>Brother was directed by Aleksei Balabanov.</x:v>
      </x:c>
      <x:c r="G90" s="2" t="str">
        <x:v>B0</x:v>
      </x:c>
      <x:c r="H90" s="2" t="str">
        <x:v>自动评审01</x:v>
      </x:c>
      <x:c r="I90" s="16" t="n">
        <x:v>2</x:v>
      </x:c>
      <x:c r="J90" s="16" t="n">
        <x:v>2</x:v>
      </x:c>
      <x:c r="K90" s="16" t="n">
        <x:v>5</x:v>
      </x:c>
      <x:c r="L90" s="16" t="n">
        <x:v>0</x:v>
      </x:c>
      <x:c r="M90" s="21" t="str">
        <x:v>Brother 的导演 Aleksei Balabanov 正确齐全，句子完整自然，无其他事实。</x:v>
      </x:c>
      <x:c r="N90" s="2" t="str">
        <x:v>gpt-6.1-sol</x:v>
      </x:c>
      <x:c r="O90" s="2" t="str">
        <x:v>ultra</x:v>
      </x:c>
      <x:c r="P90" s="16" t="n">
        <x:f>IF(I90=I290,1,0)</x:f>
        <x:v>1</x:v>
      </x:c>
      <x:c r="Q90" s="16" t="n">
        <x:f>IF(J90=J290,1,0)</x:f>
        <x:v>1</x:v>
      </x:c>
      <x:c r="R90" s="16" t="n">
        <x:f>IF(K90=K290,1,0)</x:f>
        <x:v>1</x:v>
      </x:c>
      <x:c r="S90" s="16" t="n">
        <x:f>IF(L90=L290,1,0)</x:f>
        <x:v>1</x:v>
      </x:c>
      <x:c r="T90" s="16" t="n">
        <x:f>IF(SUM(P90:S90)=4,1,0)</x:f>
        <x:v>1</x:v>
      </x:c>
    </x:row>
    <x:row r="91" ht="40" customHeight="1">
      <x:c r="A91" s="16" t="n">
        <x:v>43</x:v>
      </x:c>
      <x:c r="B91" s="2" t="str">
        <x:v>Q1192679_P57_0</x:v>
      </x:c>
      <x:c r="C91" s="21" t="str">
        <x:v>Who directed Brother?</x:v>
      </x:c>
      <x:c r="D91" s="21" t="str">
        <x:v>Brother was directed by Aleksei Balabanov. || The director or directors of Brother are Aleksei Balabanov.</x:v>
      </x:c>
      <x:c r="E91" s="16" t="n">
        <x:v>2</x:v>
      </x:c>
      <x:c r="F91" s="21" t="str">
        <x:v>Brother was directed by Aleksei Balabanov.</x:v>
      </x:c>
      <x:c r="G91" s="2" t="str">
        <x:v>A0</x:v>
      </x:c>
      <x:c r="H91" s="2" t="str">
        <x:v>自动评审01</x:v>
      </x:c>
      <x:c r="I91" s="16" t="n">
        <x:v>2</x:v>
      </x:c>
      <x:c r="J91" s="16" t="n">
        <x:v>2</x:v>
      </x:c>
      <x:c r="K91" s="16" t="n">
        <x:v>5</x:v>
      </x:c>
      <x:c r="L91" s="16" t="n">
        <x:v>0</x:v>
      </x:c>
      <x:c r="M91" s="21" t="str">
        <x:v>正确将 Brother 的执导者答为 Aleksei Balabanov，人物及关系与参考吻合，表达流畅。</x:v>
      </x:c>
      <x:c r="N91" s="2" t="str">
        <x:v>gpt-6.1-sol</x:v>
      </x:c>
      <x:c r="O91" s="2" t="str">
        <x:v>ultra</x:v>
      </x:c>
      <x:c r="P91" s="16" t="n">
        <x:f>IF(I91=I291,1,0)</x:f>
        <x:v>1</x:v>
      </x:c>
      <x:c r="Q91" s="16" t="n">
        <x:f>IF(J91=J291,1,0)</x:f>
        <x:v>1</x:v>
      </x:c>
      <x:c r="R91" s="16" t="n">
        <x:f>IF(K91=K291,1,0)</x:f>
        <x:v>1</x:v>
      </x:c>
      <x:c r="S91" s="16" t="n">
        <x:f>IF(L91=L291,1,0)</x:f>
        <x:v>1</x:v>
      </x:c>
      <x:c r="T91" s="16" t="n">
        <x:f>IF(SUM(P91:S91)=4,1,0)</x:f>
        <x:v>1</x:v>
      </x:c>
    </x:row>
    <x:row r="92" ht="40" customHeight="1">
      <x:c r="A92" s="16" t="n">
        <x:v>44</x:v>
      </x:c>
      <x:c r="B92" s="2" t="str">
        <x:v>Q909063_P364_1</x:v>
      </x:c>
      <x:c r="C92" s="21" t="str">
        <x:v>Which languages was Halloween (2007) originally made in?</x:v>
      </x:c>
      <x:c r="D92" s="21" t="str">
        <x:v>The original languages of Halloween are English. || Halloween was originally made in English.</x:v>
      </x:c>
      <x:c r="E92" s="16" t="n">
        <x:v>1</x:v>
      </x:c>
      <x:c r="F92" s="21" t="str">
        <x:v>The original languages of Halloween are English.</x:v>
      </x:c>
      <x:c r="G92" s="2" t="str">
        <x:v>A0</x:v>
      </x:c>
      <x:c r="H92" s="2" t="str">
        <x:v>自动评审01</x:v>
      </x:c>
      <x:c r="I92" s="16" t="n">
        <x:v>2</x:v>
      </x:c>
      <x:c r="J92" s="16" t="n">
        <x:v>2</x:v>
      </x:c>
      <x:c r="K92" s="16" t="n">
        <x:v>4</x:v>
      </x:c>
      <x:c r="L92" s="16" t="n">
        <x:v>0</x:v>
      </x:c>
      <x:c r="M92" s="21" t="str">
        <x:v>English 是 Halloween 本题参考的全部语言，答案正确；单项却用 languages are 略生硬。</x:v>
      </x:c>
      <x:c r="N92" s="2" t="str">
        <x:v>gpt-6.1-sol</x:v>
      </x:c>
      <x:c r="O92" s="2" t="str">
        <x:v>ultra</x:v>
      </x:c>
      <x:c r="P92" s="16" t="n">
        <x:f>IF(I92=I292,1,0)</x:f>
        <x:v>1</x:v>
      </x:c>
      <x:c r="Q92" s="16" t="n">
        <x:f>IF(J92=J292,1,0)</x:f>
        <x:v>1</x:v>
      </x:c>
      <x:c r="R92" s="16" t="n">
        <x:f>IF(K92=K292,1,0)</x:f>
        <x:v>1</x:v>
      </x:c>
      <x:c r="S92" s="16" t="n">
        <x:f>IF(L92=L292,1,0)</x:f>
        <x:v>1</x:v>
      </x:c>
      <x:c r="T92" s="16" t="n">
        <x:f>IF(SUM(P92:S92)=4,1,0)</x:f>
        <x:v>1</x:v>
      </x:c>
    </x:row>
    <x:row r="93" ht="40" customHeight="1">
      <x:c r="A93" s="16" t="n">
        <x:v>44</x:v>
      </x:c>
      <x:c r="B93" s="2" t="str">
        <x:v>Q909063_P364_1</x:v>
      </x:c>
      <x:c r="C93" s="21" t="str">
        <x:v>Which languages was Halloween (2007) originally made in?</x:v>
      </x:c>
      <x:c r="D93" s="21" t="str">
        <x:v>The original languages of Halloween are English. || Halloween was originally made in English.</x:v>
      </x:c>
      <x:c r="E93" s="16" t="n">
        <x:v>2</x:v>
      </x:c>
      <x:c r="F93" s="21" t="str">
        <x:v>The original languages of Halloween are English.</x:v>
      </x:c>
      <x:c r="G93" s="2" t="str">
        <x:v>B0</x:v>
      </x:c>
      <x:c r="H93" s="2" t="str">
        <x:v>自动评审01</x:v>
      </x:c>
      <x:c r="I93" s="16" t="n">
        <x:v>2</x:v>
      </x:c>
      <x:c r="J93" s="16" t="n">
        <x:v>2</x:v>
      </x:c>
      <x:c r="K93" s="16" t="n">
        <x:v>4</x:v>
      </x:c>
      <x:c r="L93" s="16" t="n">
        <x:v>0</x:v>
      </x:c>
      <x:c r="M93" s="21" t="str">
        <x:v>完整给出 2007 年 Halloween 所问的英语语言；复数 languages 用于唯一语言稍别扭。</x:v>
      </x:c>
      <x:c r="N93" s="2" t="str">
        <x:v>gpt-6.1-sol</x:v>
      </x:c>
      <x:c r="O93" s="2" t="str">
        <x:v>ultra</x:v>
      </x:c>
      <x:c r="P93" s="16" t="n">
        <x:f>IF(I93=I293,1,0)</x:f>
        <x:v>1</x:v>
      </x:c>
      <x:c r="Q93" s="16" t="n">
        <x:f>IF(J93=J293,1,0)</x:f>
        <x:v>1</x:v>
      </x:c>
      <x:c r="R93" s="16" t="n">
        <x:f>IF(K93=K293,1,0)</x:f>
        <x:v>1</x:v>
      </x:c>
      <x:c r="S93" s="16" t="n">
        <x:f>IF(L93=L293,1,0)</x:f>
        <x:v>1</x:v>
      </x:c>
      <x:c r="T93" s="16" t="n">
        <x:f>IF(SUM(P93:S93)=4,1,0)</x:f>
        <x:v>1</x:v>
      </x:c>
    </x:row>
    <x:row r="94" ht="40" customHeight="1">
      <x:c r="A94" s="16" t="n">
        <x:v>45</x:v>
      </x:c>
      <x:c r="B94" s="2" t="str">
        <x:v>Q588420_P136_1</x:v>
      </x:c>
      <x:c r="C94" s="21" t="str">
        <x:v>Which genres does Magnolia belong to?</x:v>
      </x:c>
      <x:c r="D94" s="21" t="str">
        <x:v>Magnolia belongs to the following genres: drama film. || The genres of Magnolia are drama film.</x:v>
      </x:c>
      <x:c r="E94" s="16" t="n">
        <x:v>1</x:v>
      </x:c>
      <x:c r="F94" s="21" t="str">
        <x:v>Magnolia belongs to the following genres: drama film.</x:v>
      </x:c>
      <x:c r="G94" s="2" t="str">
        <x:v>A0</x:v>
      </x:c>
      <x:c r="H94" s="2" t="str">
        <x:v>自动评审01</x:v>
      </x:c>
      <x:c r="I94" s="16" t="n">
        <x:v>2</x:v>
      </x:c>
      <x:c r="J94" s="16" t="n">
        <x:v>2</x:v>
      </x:c>
      <x:c r="K94" s="16" t="n">
        <x:v>4</x:v>
      </x:c>
      <x:c r="L94" s="16" t="n">
        <x:v>0</x:v>
      </x:c>
      <x:c r="M94" s="21" t="str">
        <x:v>剧情片这一唯一参考类型正确完整；following genres 用复数却仅列一类，措辞略不自然。</x:v>
      </x:c>
      <x:c r="N94" s="2" t="str">
        <x:v>gpt-6.1-sol</x:v>
      </x:c>
      <x:c r="O94" s="2" t="str">
        <x:v>ultra</x:v>
      </x:c>
      <x:c r="P94" s="16" t="n">
        <x:f>IF(I94=I294,1,0)</x:f>
        <x:v>1</x:v>
      </x:c>
      <x:c r="Q94" s="16" t="n">
        <x:f>IF(J94=J294,1,0)</x:f>
        <x:v>1</x:v>
      </x:c>
      <x:c r="R94" s="16" t="n">
        <x:f>IF(K94=K294,1,0)</x:f>
        <x:v>1</x:v>
      </x:c>
      <x:c r="S94" s="16" t="n">
        <x:f>IF(L94=L294,1,0)</x:f>
        <x:v>1</x:v>
      </x:c>
      <x:c r="T94" s="16" t="n">
        <x:f>IF(SUM(P94:S94)=4,1,0)</x:f>
        <x:v>1</x:v>
      </x:c>
    </x:row>
    <x:row r="95" ht="40" customHeight="1">
      <x:c r="A95" s="16" t="n">
        <x:v>45</x:v>
      </x:c>
      <x:c r="B95" s="2" t="str">
        <x:v>Q588420_P136_1</x:v>
      </x:c>
      <x:c r="C95" s="21" t="str">
        <x:v>Which genres does Magnolia belong to?</x:v>
      </x:c>
      <x:c r="D95" s="21" t="str">
        <x:v>Magnolia belongs to the following genres: drama film. || The genres of Magnolia are drama film.</x:v>
      </x:c>
      <x:c r="E95" s="16" t="n">
        <x:v>2</x:v>
      </x:c>
      <x:c r="F95" s="21" t="str">
        <x:v>Magnolia belongs to the following genres: drama film.</x:v>
      </x:c>
      <x:c r="G95" s="2" t="str">
        <x:v>B0</x:v>
      </x:c>
      <x:c r="H95" s="2" t="str">
        <x:v>自动评审01</x:v>
      </x:c>
      <x:c r="I95" s="16" t="n">
        <x:v>2</x:v>
      </x:c>
      <x:c r="J95" s="16" t="n">
        <x:v>2</x:v>
      </x:c>
      <x:c r="K95" s="16" t="n">
        <x:v>4</x:v>
      </x:c>
      <x:c r="L95" s="16" t="n">
        <x:v>0</x:v>
      </x:c>
      <x:c r="M95" s="21" t="str">
        <x:v>Magnolia 的 drama film 类型符合参考，没有新增类型；单项类型列表的 genres 复数稍生硬。</x:v>
      </x:c>
      <x:c r="N95" s="2" t="str">
        <x:v>gpt-6.1-sol</x:v>
      </x:c>
      <x:c r="O95" s="2" t="str">
        <x:v>ultra</x:v>
      </x:c>
      <x:c r="P95" s="16" t="n">
        <x:f>IF(I95=I295,1,0)</x:f>
        <x:v>1</x:v>
      </x:c>
      <x:c r="Q95" s="16" t="n">
        <x:f>IF(J95=J295,1,0)</x:f>
        <x:v>1</x:v>
      </x:c>
      <x:c r="R95" s="16" t="n">
        <x:f>IF(K95=K295,1,0)</x:f>
        <x:v>1</x:v>
      </x:c>
      <x:c r="S95" s="16" t="n">
        <x:f>IF(L95=L295,1,0)</x:f>
        <x:v>1</x:v>
      </x:c>
      <x:c r="T95" s="16" t="n">
        <x:f>IF(SUM(P95:S95)=4,1,0)</x:f>
        <x:v>1</x:v>
      </x:c>
    </x:row>
    <x:row r="96" ht="40" customHeight="1">
      <x:c r="A96" s="16" t="n">
        <x:v>46</x:v>
      </x:c>
      <x:c r="B96" s="2" t="str">
        <x:v>Q1020603_P57_0</x:v>
      </x:c>
      <x:c r="C96" s="21" t="str">
        <x:v>Who directed Stage Door?</x:v>
      </x:c>
      <x:c r="D96" s="21" t="str">
        <x:v>Stage Door was directed by Gregory La Cava. || The director or directors of Stage Door are Gregory La Cava.</x:v>
      </x:c>
      <x:c r="E96" s="16" t="n">
        <x:v>1</x:v>
      </x:c>
      <x:c r="F96" s="21" t="str">
        <x:v>Stage Door was directed by Gregory La Cava.</x:v>
      </x:c>
      <x:c r="G96" s="2" t="str">
        <x:v>B0</x:v>
      </x:c>
      <x:c r="H96" s="2" t="str">
        <x:v>自动评审01</x:v>
      </x:c>
      <x:c r="I96" s="16" t="n">
        <x:v>2</x:v>
      </x:c>
      <x:c r="J96" s="16" t="n">
        <x:v>2</x:v>
      </x:c>
      <x:c r="K96" s="16" t="n">
        <x:v>5</x:v>
      </x:c>
      <x:c r="L96" s="16" t="n">
        <x:v>0</x:v>
      </x:c>
      <x:c r="M96" s="21" t="str">
        <x:v>Stage Door 的导演 Gregory La Cava 与参考一致，信息齐全，表达自然。</x:v>
      </x:c>
      <x:c r="N96" s="2" t="str">
        <x:v>gpt-6.1-sol</x:v>
      </x:c>
      <x:c r="O96" s="2" t="str">
        <x:v>ultra</x:v>
      </x:c>
      <x:c r="P96" s="16" t="n">
        <x:f>IF(I96=I296,1,0)</x:f>
        <x:v>1</x:v>
      </x:c>
      <x:c r="Q96" s="16" t="n">
        <x:f>IF(J96=J296,1,0)</x:f>
        <x:v>1</x:v>
      </x:c>
      <x:c r="R96" s="16" t="n">
        <x:f>IF(K96=K296,1,0)</x:f>
        <x:v>1</x:v>
      </x:c>
      <x:c r="S96" s="16" t="n">
        <x:f>IF(L96=L296,1,0)</x:f>
        <x:v>1</x:v>
      </x:c>
      <x:c r="T96" s="16" t="n">
        <x:f>IF(SUM(P96:S96)=4,1,0)</x:f>
        <x:v>1</x:v>
      </x:c>
    </x:row>
    <x:row r="97" ht="40" customHeight="1">
      <x:c r="A97" s="16" t="n">
        <x:v>46</x:v>
      </x:c>
      <x:c r="B97" s="2" t="str">
        <x:v>Q1020603_P57_0</x:v>
      </x:c>
      <x:c r="C97" s="21" t="str">
        <x:v>Who directed Stage Door?</x:v>
      </x:c>
      <x:c r="D97" s="21" t="str">
        <x:v>Stage Door was directed by Gregory La Cava. || The director or directors of Stage Door are Gregory La Cava.</x:v>
      </x:c>
      <x:c r="E97" s="16" t="n">
        <x:v>2</x:v>
      </x:c>
      <x:c r="F97" s="21" t="str">
        <x:v>Stage Door was directed by Gregory La Cava.</x:v>
      </x:c>
      <x:c r="G97" s="2" t="str">
        <x:v>A0</x:v>
      </x:c>
      <x:c r="H97" s="2" t="str">
        <x:v>自动评审01</x:v>
      </x:c>
      <x:c r="I97" s="16" t="n">
        <x:v>2</x:v>
      </x:c>
      <x:c r="J97" s="16" t="n">
        <x:v>2</x:v>
      </x:c>
      <x:c r="K97" s="16" t="n">
        <x:v>5</x:v>
      </x:c>
      <x:c r="L97" s="16" t="n">
        <x:v>0</x:v>
      </x:c>
      <x:c r="M97" s="21" t="str">
        <x:v>正确给出 Gregory La Cava 的执导关系，无遗漏或额外事实，被动句清楚。</x:v>
      </x:c>
      <x:c r="N97" s="2" t="str">
        <x:v>gpt-6.1-sol</x:v>
      </x:c>
      <x:c r="O97" s="2" t="str">
        <x:v>ultra</x:v>
      </x:c>
      <x:c r="P97" s="16" t="n">
        <x:f>IF(I97=I297,1,0)</x:f>
        <x:v>1</x:v>
      </x:c>
      <x:c r="Q97" s="16" t="n">
        <x:f>IF(J97=J297,1,0)</x:f>
        <x:v>1</x:v>
      </x:c>
      <x:c r="R97" s="16" t="n">
        <x:f>IF(K97=K297,1,0)</x:f>
        <x:v>1</x:v>
      </x:c>
      <x:c r="S97" s="16" t="n">
        <x:f>IF(L97=L297,1,0)</x:f>
        <x:v>1</x:v>
      </x:c>
      <x:c r="T97" s="16" t="n">
        <x:f>IF(SUM(P97:S97)=4,1,0)</x:f>
        <x:v>1</x:v>
      </x:c>
    </x:row>
    <x:row r="98" ht="40" customHeight="1">
      <x:c r="A98" s="16" t="n">
        <x:v>47</x:v>
      </x:c>
      <x:c r="B98" s="2" t="str">
        <x:v>Q431873_P495_0</x:v>
      </x:c>
      <x:c r="C98" s="21" t="str">
        <x:v>Which country did The Wolf Man originate in?</x:v>
      </x:c>
      <x:c r="D98" s="21" t="str">
        <x:v>The Wolf Man originated in United States. || The countries of origin of The Wolf Man are United States.</x:v>
      </x:c>
      <x:c r="E98" s="16" t="n">
        <x:v>1</x:v>
      </x:c>
      <x:c r="F98" s="21" t="str">
        <x:v>The Wolf Man originated in United States.</x:v>
      </x:c>
      <x:c r="G98" s="2" t="str">
        <x:v>B0</x:v>
      </x:c>
      <x:c r="H98" s="2" t="str">
        <x:v>自动评审01</x:v>
      </x:c>
      <x:c r="I98" s="16" t="n">
        <x:v>2</x:v>
      </x:c>
      <x:c r="J98" s="16" t="n">
        <x:v>2</x:v>
      </x:c>
      <x:c r="K98" s="16" t="n">
        <x:v>4</x:v>
      </x:c>
      <x:c r="L98" s="16" t="n">
        <x:v>0</x:v>
      </x:c>
      <x:c r="M98" s="21" t="str">
        <x:v>The Wolf Man 的美国来源正确完整；United States 前漏定冠词 the。</x:v>
      </x:c>
      <x:c r="N98" s="2" t="str">
        <x:v>gpt-6.1-sol</x:v>
      </x:c>
      <x:c r="O98" s="2" t="str">
        <x:v>ultra</x:v>
      </x:c>
      <x:c r="P98" s="16" t="n">
        <x:f>IF(I98=I298,1,0)</x:f>
        <x:v>1</x:v>
      </x:c>
      <x:c r="Q98" s="16" t="n">
        <x:f>IF(J98=J298,1,0)</x:f>
        <x:v>1</x:v>
      </x:c>
      <x:c r="R98" s="16" t="n">
        <x:f>IF(K98=K298,1,0)</x:f>
        <x:v>1</x:v>
      </x:c>
      <x:c r="S98" s="16" t="n">
        <x:f>IF(L98=L298,1,0)</x:f>
        <x:v>1</x:v>
      </x:c>
      <x:c r="T98" s="16" t="n">
        <x:f>IF(SUM(P98:S98)=4,1,0)</x:f>
        <x:v>1</x:v>
      </x:c>
    </x:row>
    <x:row r="99" ht="40" customHeight="1">
      <x:c r="A99" s="16" t="n">
        <x:v>47</x:v>
      </x:c>
      <x:c r="B99" s="2" t="str">
        <x:v>Q431873_P495_0</x:v>
      </x:c>
      <x:c r="C99" s="21" t="str">
        <x:v>Which country did The Wolf Man originate in?</x:v>
      </x:c>
      <x:c r="D99" s="21" t="str">
        <x:v>The Wolf Man originated in United States. || The countries of origin of The Wolf Man are United States.</x:v>
      </x:c>
      <x:c r="E99" s="16" t="n">
        <x:v>2</x:v>
      </x:c>
      <x:c r="F99" s="21" t="str">
        <x:v>The Wolf Man originated in United States.</x:v>
      </x:c>
      <x:c r="G99" s="2" t="str">
        <x:v>A0</x:v>
      </x:c>
      <x:c r="H99" s="2" t="str">
        <x:v>自动评审01</x:v>
      </x:c>
      <x:c r="I99" s="16" t="n">
        <x:v>2</x:v>
      </x:c>
      <x:c r="J99" s="16" t="n">
        <x:v>2</x:v>
      </x:c>
      <x:c r="K99" s="16" t="n">
        <x:v>4</x:v>
      </x:c>
      <x:c r="L99" s="16" t="n">
        <x:v>0</x:v>
      </x:c>
      <x:c r="M99" s="21" t="str">
        <x:v>美国为参考唯一产地，答案覆盖全部；in United States 缺 the，不影响理解。</x:v>
      </x:c>
      <x:c r="N99" s="2" t="str">
        <x:v>gpt-6.1-sol</x:v>
      </x:c>
      <x:c r="O99" s="2" t="str">
        <x:v>ultra</x:v>
      </x:c>
      <x:c r="P99" s="16" t="n">
        <x:f>IF(I99=I299,1,0)</x:f>
        <x:v>1</x:v>
      </x:c>
      <x:c r="Q99" s="16" t="n">
        <x:f>IF(J99=J299,1,0)</x:f>
        <x:v>1</x:v>
      </x:c>
      <x:c r="R99" s="16" t="n">
        <x:f>IF(K99=K299,1,0)</x:f>
        <x:v>1</x:v>
      </x:c>
      <x:c r="S99" s="16" t="n">
        <x:f>IF(L99=L299,1,0)</x:f>
        <x:v>1</x:v>
      </x:c>
      <x:c r="T99" s="16" t="n">
        <x:f>IF(SUM(P99:S99)=4,1,0)</x:f>
        <x:v>1</x:v>
      </x:c>
    </x:row>
    <x:row r="100" ht="40" customHeight="1">
      <x:c r="A100" s="16" t="n">
        <x:v>48</x:v>
      </x:c>
      <x:c r="B100" s="2" t="str">
        <x:v>Q112322116_P364_1</x:v>
      </x:c>
      <x:c r="C100" s="21" t="str">
        <x:v>Which languages was Captain America: Brave New World originally made in?</x:v>
      </x:c>
      <x:c r="D100" s="21" t="str">
        <x:v>The original languages of Captain America: Brave New World are English. || Captain America: Brave New World was originally made in English.</x:v>
      </x:c>
      <x:c r="E100" s="16" t="n">
        <x:v>1</x:v>
      </x:c>
      <x:c r="F100" s="21" t="str">
        <x:v>The original languages of Captain America: Brave New World are English.</x:v>
      </x:c>
      <x:c r="G100" s="2" t="str">
        <x:v>A0</x:v>
      </x:c>
      <x:c r="H100" s="2" t="str">
        <x:v>自动评审01</x:v>
      </x:c>
      <x:c r="I100" s="16" t="n">
        <x:v>2</x:v>
      </x:c>
      <x:c r="J100" s="16" t="n">
        <x:v>2</x:v>
      </x:c>
      <x:c r="K100" s="16" t="n">
        <x:v>4</x:v>
      </x:c>
      <x:c r="L100" s="16" t="n">
        <x:v>0</x:v>
      </x:c>
      <x:c r="M100" s="21" t="str">
        <x:v>Captain America: Brave New World 的 English 原始语言正确；单一语言用 languages are 稍生硬。</x:v>
      </x:c>
      <x:c r="N100" s="2" t="str">
        <x:v>gpt-6.1-sol</x:v>
      </x:c>
      <x:c r="O100" s="2" t="str">
        <x:v>ultra</x:v>
      </x:c>
      <x:c r="P100" s="16" t="n">
        <x:f>IF(I100=I300,1,0)</x:f>
        <x:v>1</x:v>
      </x:c>
      <x:c r="Q100" s="16" t="n">
        <x:f>IF(J100=J300,1,0)</x:f>
        <x:v>1</x:v>
      </x:c>
      <x:c r="R100" s="16" t="n">
        <x:f>IF(K100=K300,1,0)</x:f>
        <x:v>1</x:v>
      </x:c>
      <x:c r="S100" s="16" t="n">
        <x:f>IF(L100=L300,1,0)</x:f>
        <x:v>1</x:v>
      </x:c>
      <x:c r="T100" s="16" t="n">
        <x:f>IF(SUM(P100:S100)=4,1,0)</x:f>
        <x:v>1</x:v>
      </x:c>
    </x:row>
    <x:row r="101" ht="40" customHeight="1">
      <x:c r="A101" s="16" t="n">
        <x:v>48</x:v>
      </x:c>
      <x:c r="B101" s="2" t="str">
        <x:v>Q112322116_P364_1</x:v>
      </x:c>
      <x:c r="C101" s="21" t="str">
        <x:v>Which languages was Captain America: Brave New World originally made in?</x:v>
      </x:c>
      <x:c r="D101" s="21" t="str">
        <x:v>The original languages of Captain America: Brave New World are English. || Captain America: Brave New World was originally made in English.</x:v>
      </x:c>
      <x:c r="E101" s="16" t="n">
        <x:v>2</x:v>
      </x:c>
      <x:c r="F101" s="21" t="str">
        <x:v>The original languages of Captain America: Brave New World are English.</x:v>
      </x:c>
      <x:c r="G101" s="2" t="str">
        <x:v>B0</x:v>
      </x:c>
      <x:c r="H101" s="2" t="str">
        <x:v>自动评审01</x:v>
      </x:c>
      <x:c r="I101" s="16" t="n">
        <x:v>2</x:v>
      </x:c>
      <x:c r="J101" s="16" t="n">
        <x:v>2</x:v>
      </x:c>
      <x:c r="K101" s="16" t="n">
        <x:v>4</x:v>
      </x:c>
      <x:c r="L101" s="16" t="n">
        <x:v>0</x:v>
      </x:c>
      <x:c r="M101" s="21" t="str">
        <x:v>英语完整覆盖参考语言事实，电影标题清楚；单项语言与复数 languages 搭配略不自然。</x:v>
      </x:c>
      <x:c r="N101" s="2" t="str">
        <x:v>gpt-6.1-sol</x:v>
      </x:c>
      <x:c r="O101" s="2" t="str">
        <x:v>ultra</x:v>
      </x:c>
      <x:c r="P101" s="16" t="n">
        <x:f>IF(I101=I301,1,0)</x:f>
        <x:v>1</x:v>
      </x:c>
      <x:c r="Q101" s="16" t="n">
        <x:f>IF(J101=J301,1,0)</x:f>
        <x:v>1</x:v>
      </x:c>
      <x:c r="R101" s="16" t="n">
        <x:f>IF(K101=K301,1,0)</x:f>
        <x:v>1</x:v>
      </x:c>
      <x:c r="S101" s="16" t="n">
        <x:f>IF(L101=L301,1,0)</x:f>
        <x:v>1</x:v>
      </x:c>
      <x:c r="T101" s="16" t="n">
        <x:f>IF(SUM(P101:S101)=4,1,0)</x:f>
        <x:v>1</x:v>
      </x:c>
    </x:row>
    <x:row r="102" ht="40" customHeight="1">
      <x:c r="A102" s="16" t="n">
        <x:v>49</x:v>
      </x:c>
      <x:c r="B102" s="2" t="str">
        <x:v>Q172241_P495_2</x:v>
      </x:c>
      <x:c r="C102" s="21" t="str">
        <x:v>Name the countries of origin of The Shawshank Redemption.</x:v>
      </x:c>
      <x:c r="D102" s="21" t="str">
        <x:v>The Shawshank Redemption originated in United States. || The countries of origin of The Shawshank Redemption are United States.</x:v>
      </x:c>
      <x:c r="E102" s="16" t="n">
        <x:v>1</x:v>
      </x:c>
      <x:c r="F102" s="21" t="str">
        <x:v>The Shawshank Redemption originated in United States.</x:v>
      </x:c>
      <x:c r="G102" s="2" t="str">
        <x:v>B0</x:v>
      </x:c>
      <x:c r="H102" s="2" t="str">
        <x:v>自动评审01</x:v>
      </x:c>
      <x:c r="I102" s="16" t="n">
        <x:v>2</x:v>
      </x:c>
      <x:c r="J102" s="16" t="n">
        <x:v>2</x:v>
      </x:c>
      <x:c r="K102" s="16" t="n">
        <x:v>4</x:v>
      </x:c>
      <x:c r="L102" s="16" t="n">
        <x:v>0</x:v>
      </x:c>
      <x:c r="M102" s="21" t="str">
        <x:v>The Shawshank Redemption 的美国来源与参考相符，无遗漏；United States 前少 the。</x:v>
      </x:c>
      <x:c r="N102" s="2" t="str">
        <x:v>gpt-6.1-sol</x:v>
      </x:c>
      <x:c r="O102" s="2" t="str">
        <x:v>ultra</x:v>
      </x:c>
      <x:c r="P102" s="16" t="n">
        <x:f>IF(I102=I302,1,0)</x:f>
        <x:v>1</x:v>
      </x:c>
      <x:c r="Q102" s="16" t="n">
        <x:f>IF(J102=J302,1,0)</x:f>
        <x:v>1</x:v>
      </x:c>
      <x:c r="R102" s="16" t="n">
        <x:f>IF(K102=K302,1,0)</x:f>
        <x:v>1</x:v>
      </x:c>
      <x:c r="S102" s="16" t="n">
        <x:f>IF(L102=L302,1,0)</x:f>
        <x:v>1</x:v>
      </x:c>
      <x:c r="T102" s="16" t="n">
        <x:f>IF(SUM(P102:S102)=4,1,0)</x:f>
        <x:v>1</x:v>
      </x:c>
    </x:row>
    <x:row r="103" ht="40" customHeight="1">
      <x:c r="A103" s="16" t="n">
        <x:v>49</x:v>
      </x:c>
      <x:c r="B103" s="2" t="str">
        <x:v>Q172241_P495_2</x:v>
      </x:c>
      <x:c r="C103" s="21" t="str">
        <x:v>Name the countries of origin of The Shawshank Redemption.</x:v>
      </x:c>
      <x:c r="D103" s="21" t="str">
        <x:v>The Shawshank Redemption originated in United States. || The countries of origin of The Shawshank Redemption are United States.</x:v>
      </x:c>
      <x:c r="E103" s="16" t="n">
        <x:v>2</x:v>
      </x:c>
      <x:c r="F103" s="21" t="str">
        <x:v>The Shawshank Redemption originated in United States.</x:v>
      </x:c>
      <x:c r="G103" s="2" t="str">
        <x:v>A0</x:v>
      </x:c>
      <x:c r="H103" s="2" t="str">
        <x:v>自动评审01</x:v>
      </x:c>
      <x:c r="I103" s="16" t="n">
        <x:v>2</x:v>
      </x:c>
      <x:c r="J103" s="16" t="n">
        <x:v>2</x:v>
      </x:c>
      <x:c r="K103" s="16" t="n">
        <x:v>4</x:v>
      </x:c>
      <x:c r="L103" s="16" t="n">
        <x:v>0</x:v>
      </x:c>
      <x:c r="M103" s="21" t="str">
        <x:v>正确给出美国这一产地，没有新增国家；国名定冠词缺失属轻微语法问题。</x:v>
      </x:c>
      <x:c r="N103" s="2" t="str">
        <x:v>gpt-6.1-sol</x:v>
      </x:c>
      <x:c r="O103" s="2" t="str">
        <x:v>ultra</x:v>
      </x:c>
      <x:c r="P103" s="16" t="n">
        <x:f>IF(I103=I303,1,0)</x:f>
        <x:v>1</x:v>
      </x:c>
      <x:c r="Q103" s="16" t="n">
        <x:f>IF(J103=J303,1,0)</x:f>
        <x:v>1</x:v>
      </x:c>
      <x:c r="R103" s="16" t="n">
        <x:f>IF(K103=K303,1,0)</x:f>
        <x:v>1</x:v>
      </x:c>
      <x:c r="S103" s="16" t="n">
        <x:f>IF(L103=L303,1,0)</x:f>
        <x:v>1</x:v>
      </x:c>
      <x:c r="T103" s="16" t="n">
        <x:f>IF(SUM(P103:S103)=4,1,0)</x:f>
        <x:v>1</x:v>
      </x:c>
    </x:row>
    <x:row r="104" ht="40" customHeight="1">
      <x:c r="A104" s="16" t="n">
        <x:v>50</x:v>
      </x:c>
      <x:c r="B104" s="2" t="str">
        <x:v>Q1415194_P57_1</x:v>
      </x:c>
      <x:c r="C104" s="21" t="str">
        <x:v>Who was the director of Kin-dza-dza!?</x:v>
      </x:c>
      <x:c r="D104" s="21" t="str">
        <x:v>Kin-dza-dza! was directed by Georgiy Daneliya. || The director or directors of Kin-dza-dza! are Georgiy Daneliya.</x:v>
      </x:c>
      <x:c r="E104" s="16" t="n">
        <x:v>1</x:v>
      </x:c>
      <x:c r="F104" s="21" t="str">
        <x:v>Kin-dza-dza! was directed by Georgiy Daneliya.</x:v>
      </x:c>
      <x:c r="G104" s="2" t="str">
        <x:v>B0</x:v>
      </x:c>
      <x:c r="H104" s="2" t="str">
        <x:v>自动评审01</x:v>
      </x:c>
      <x:c r="I104" s="16" t="n">
        <x:v>2</x:v>
      </x:c>
      <x:c r="J104" s="16" t="n">
        <x:v>2</x:v>
      </x:c>
      <x:c r="K104" s="16" t="n">
        <x:v>5</x:v>
      </x:c>
      <x:c r="L104" s="16" t="n">
        <x:v>0</x:v>
      </x:c>
      <x:c r="M104" s="21" t="str">
        <x:v>Kin-dza-dza! 的导演 Georgiy Daneliya 正确齐全，片名叹号属于标题，句意明确。</x:v>
      </x:c>
      <x:c r="N104" s="2" t="str">
        <x:v>gpt-6.1-sol</x:v>
      </x:c>
      <x:c r="O104" s="2" t="str">
        <x:v>ultra</x:v>
      </x:c>
      <x:c r="P104" s="16" t="n">
        <x:f>IF(I104=I304,1,0)</x:f>
        <x:v>1</x:v>
      </x:c>
      <x:c r="Q104" s="16" t="n">
        <x:f>IF(J104=J304,1,0)</x:f>
        <x:v>1</x:v>
      </x:c>
      <x:c r="R104" s="16" t="n">
        <x:f>IF(K104=K304,1,0)</x:f>
        <x:v>1</x:v>
      </x:c>
      <x:c r="S104" s="16" t="n">
        <x:f>IF(L104=L304,1,0)</x:f>
        <x:v>1</x:v>
      </x:c>
      <x:c r="T104" s="16" t="n">
        <x:f>IF(SUM(P104:S104)=4,1,0)</x:f>
        <x:v>1</x:v>
      </x:c>
    </x:row>
    <x:row r="105" ht="40" customHeight="1">
      <x:c r="A105" s="16" t="n">
        <x:v>50</x:v>
      </x:c>
      <x:c r="B105" s="2" t="str">
        <x:v>Q1415194_P57_1</x:v>
      </x:c>
      <x:c r="C105" s="21" t="str">
        <x:v>Who was the director of Kin-dza-dza!?</x:v>
      </x:c>
      <x:c r="D105" s="21" t="str">
        <x:v>Kin-dza-dza! was directed by Georgiy Daneliya. || The director or directors of Kin-dza-dza! are Georgiy Daneliya.</x:v>
      </x:c>
      <x:c r="E105" s="16" t="n">
        <x:v>2</x:v>
      </x:c>
      <x:c r="F105" s="21" t="str">
        <x:v>Kin-dza-dza! was directed by Georgiy Daneliya.</x:v>
      </x:c>
      <x:c r="G105" s="2" t="str">
        <x:v>A0</x:v>
      </x:c>
      <x:c r="H105" s="2" t="str">
        <x:v>自动评审01</x:v>
      </x:c>
      <x:c r="I105" s="16" t="n">
        <x:v>2</x:v>
      </x:c>
      <x:c r="J105" s="16" t="n">
        <x:v>2</x:v>
      </x:c>
      <x:c r="K105" s="16" t="n">
        <x:v>5</x:v>
      </x:c>
      <x:c r="L105" s="16" t="n">
        <x:v>0</x:v>
      </x:c>
      <x:c r="M105" s="21" t="str">
        <x:v>正确回答 Georgiy Daneliya 执导 Kin-dza-dza!，关系完整且英语流畅。</x:v>
      </x:c>
      <x:c r="N105" s="2" t="str">
        <x:v>gpt-6.1-sol</x:v>
      </x:c>
      <x:c r="O105" s="2" t="str">
        <x:v>ultra</x:v>
      </x:c>
      <x:c r="P105" s="16" t="n">
        <x:f>IF(I105=I305,1,0)</x:f>
        <x:v>1</x:v>
      </x:c>
      <x:c r="Q105" s="16" t="n">
        <x:f>IF(J105=J305,1,0)</x:f>
        <x:v>1</x:v>
      </x:c>
      <x:c r="R105" s="16" t="n">
        <x:f>IF(K105=K305,1,0)</x:f>
        <x:v>1</x:v>
      </x:c>
      <x:c r="S105" s="16" t="n">
        <x:f>IF(L105=L305,1,0)</x:f>
        <x:v>1</x:v>
      </x:c>
      <x:c r="T105" s="16" t="n">
        <x:f>IF(SUM(P105:S105)=4,1,0)</x:f>
        <x:v>1</x:v>
      </x:c>
    </x:row>
    <x:row r="106" ht="54" customHeight="1">
      <x:c r="A106" s="16" t="n">
        <x:v>51</x:v>
      </x:c>
      <x:c r="B106" s="2" t="str">
        <x:v>Q166262_P495_1</x:v>
      </x:c>
      <x:c r="C106" s="21" t="str">
        <x:v>What is the country of origin of Batman Begins?</x:v>
      </x:c>
      <x:c r="D106" s="21" t="str">
        <x:v>Batman Begins originated in United States and United Kingdom. || The countries of origin of Batman Begins are United States and United Kingdom.</x:v>
      </x:c>
      <x:c r="E106" s="16" t="n">
        <x:v>1</x:v>
      </x:c>
      <x:c r="F106" s="21" t="str">
        <x:v>Batman Begins originated in United States and United Kingdom.</x:v>
      </x:c>
      <x:c r="G106" s="2" t="str">
        <x:v>B0</x:v>
      </x:c>
      <x:c r="H106" s="2" t="str">
        <x:v>自动评审01</x:v>
      </x:c>
      <x:c r="I106" s="16" t="n">
        <x:v>2</x:v>
      </x:c>
      <x:c r="J106" s="16" t="n">
        <x:v>2</x:v>
      </x:c>
      <x:c r="K106" s="16" t="n">
        <x:v>4</x:v>
      </x:c>
      <x:c r="L106" s="16" t="n">
        <x:v>0</x:v>
      </x:c>
      <x:c r="M106" s="21" t="str">
        <x:v>美国与英国两国完整符合参考；United States、United Kingdom 前均缺 the。</x:v>
      </x:c>
      <x:c r="N106" s="2" t="str">
        <x:v>gpt-6.1-sol</x:v>
      </x:c>
      <x:c r="O106" s="2" t="str">
        <x:v>ultra</x:v>
      </x:c>
      <x:c r="P106" s="16" t="n">
        <x:f>IF(I106=I306,1,0)</x:f>
        <x:v>1</x:v>
      </x:c>
      <x:c r="Q106" s="16" t="n">
        <x:f>IF(J106=J306,1,0)</x:f>
        <x:v>1</x:v>
      </x:c>
      <x:c r="R106" s="16" t="n">
        <x:f>IF(K106=K306,1,0)</x:f>
        <x:v>1</x:v>
      </x:c>
      <x:c r="S106" s="16" t="n">
        <x:f>IF(L106=L306,1,0)</x:f>
        <x:v>1</x:v>
      </x:c>
      <x:c r="T106" s="16" t="n">
        <x:f>IF(SUM(P106:S106)=4,1,0)</x:f>
        <x:v>1</x:v>
      </x:c>
    </x:row>
    <x:row r="107" ht="54" customHeight="1">
      <x:c r="A107" s="16" t="n">
        <x:v>51</x:v>
      </x:c>
      <x:c r="B107" s="2" t="str">
        <x:v>Q166262_P495_1</x:v>
      </x:c>
      <x:c r="C107" s="21" t="str">
        <x:v>What is the country of origin of Batman Begins?</x:v>
      </x:c>
      <x:c r="D107" s="21" t="str">
        <x:v>Batman Begins originated in United States and United Kingdom. || The countries of origin of Batman Begins are United States and United Kingdom.</x:v>
      </x:c>
      <x:c r="E107" s="16" t="n">
        <x:v>2</x:v>
      </x:c>
      <x:c r="F107" s="21" t="str">
        <x:v>Batman Begins originated in United States and United Kingdom.</x:v>
      </x:c>
      <x:c r="G107" s="2" t="str">
        <x:v>A0</x:v>
      </x:c>
      <x:c r="H107" s="2" t="str">
        <x:v>自动评审01</x:v>
      </x:c>
      <x:c r="I107" s="16" t="n">
        <x:v>2</x:v>
      </x:c>
      <x:c r="J107" s="16" t="n">
        <x:v>2</x:v>
      </x:c>
      <x:c r="K107" s="16" t="n">
        <x:v>4</x:v>
      </x:c>
      <x:c r="L107" s="16" t="n">
        <x:v>0</x:v>
      </x:c>
      <x:c r="M107" s="21" t="str">
        <x:v>Batman Begins 的两国产地正确齐全；两个国名的定冠词漏用使措辞稍不自然。</x:v>
      </x:c>
      <x:c r="N107" s="2" t="str">
        <x:v>gpt-6.1-sol</x:v>
      </x:c>
      <x:c r="O107" s="2" t="str">
        <x:v>ultra</x:v>
      </x:c>
      <x:c r="P107" s="16" t="n">
        <x:f>IF(I107=I307,1,0)</x:f>
        <x:v>1</x:v>
      </x:c>
      <x:c r="Q107" s="16" t="n">
        <x:f>IF(J107=J307,1,0)</x:f>
        <x:v>1</x:v>
      </x:c>
      <x:c r="R107" s="16" t="n">
        <x:f>IF(K107=K307,1,0)</x:f>
        <x:v>1</x:v>
      </x:c>
      <x:c r="S107" s="16" t="n">
        <x:f>IF(L107=L307,1,0)</x:f>
        <x:v>1</x:v>
      </x:c>
      <x:c r="T107" s="16" t="n">
        <x:f>IF(SUM(P107:S107)=4,1,0)</x:f>
        <x:v>1</x:v>
      </x:c>
    </x:row>
    <x:row r="108" ht="40" customHeight="1">
      <x:c r="A108" s="16" t="n">
        <x:v>52</x:v>
      </x:c>
      <x:c r="B108" s="2" t="str">
        <x:v>Q274167_P364_1</x:v>
      </x:c>
      <x:c r="C108" s="21" t="str">
        <x:v>Which languages was The Exorcist originally made in?</x:v>
      </x:c>
      <x:c r="D108" s="21" t="str">
        <x:v>The original languages of The Exorcist are English. || The Exorcist was originally made in English.</x:v>
      </x:c>
      <x:c r="E108" s="16" t="n">
        <x:v>1</x:v>
      </x:c>
      <x:c r="F108" s="21" t="str">
        <x:v>The original languages of The Exorcist are English.</x:v>
      </x:c>
      <x:c r="G108" s="2" t="str">
        <x:v>B0</x:v>
      </x:c>
      <x:c r="H108" s="2" t="str">
        <x:v>自动评审01</x:v>
      </x:c>
      <x:c r="I108" s="16" t="n">
        <x:v>2</x:v>
      </x:c>
      <x:c r="J108" s="16" t="n">
        <x:v>2</x:v>
      </x:c>
      <x:c r="K108" s="16" t="n">
        <x:v>4</x:v>
      </x:c>
      <x:c r="L108" s="16" t="n">
        <x:v>0</x:v>
      </x:c>
      <x:c r="M108" s="21" t="str">
        <x:v>The Exorcist 的原始语言 English 正确完整；单门语言配复数 languages are 略生硬。</x:v>
      </x:c>
      <x:c r="N108" s="2" t="str">
        <x:v>gpt-6.1-sol</x:v>
      </x:c>
      <x:c r="O108" s="2" t="str">
        <x:v>ultra</x:v>
      </x:c>
      <x:c r="P108" s="16" t="n">
        <x:f>IF(I108=I308,1,0)</x:f>
        <x:v>1</x:v>
      </x:c>
      <x:c r="Q108" s="16" t="n">
        <x:f>IF(J108=J308,1,0)</x:f>
        <x:v>1</x:v>
      </x:c>
      <x:c r="R108" s="16" t="n">
        <x:f>IF(K108=K308,1,0)</x:f>
        <x:v>1</x:v>
      </x:c>
      <x:c r="S108" s="16" t="n">
        <x:f>IF(L108=L308,1,0)</x:f>
        <x:v>1</x:v>
      </x:c>
      <x:c r="T108" s="16" t="n">
        <x:f>IF(SUM(P108:S108)=4,1,0)</x:f>
        <x:v>1</x:v>
      </x:c>
    </x:row>
    <x:row r="109" ht="40" customHeight="1">
      <x:c r="A109" s="16" t="n">
        <x:v>52</x:v>
      </x:c>
      <x:c r="B109" s="2" t="str">
        <x:v>Q274167_P364_1</x:v>
      </x:c>
      <x:c r="C109" s="21" t="str">
        <x:v>Which languages was The Exorcist originally made in?</x:v>
      </x:c>
      <x:c r="D109" s="21" t="str">
        <x:v>The original languages of The Exorcist are English. || The Exorcist was originally made in English.</x:v>
      </x:c>
      <x:c r="E109" s="16" t="n">
        <x:v>2</x:v>
      </x:c>
      <x:c r="F109" s="21" t="str">
        <x:v>The original languages of The Exorcist are English.</x:v>
      </x:c>
      <x:c r="G109" s="2" t="str">
        <x:v>A0</x:v>
      </x:c>
      <x:c r="H109" s="2" t="str">
        <x:v>自动评审01</x:v>
      </x:c>
      <x:c r="I109" s="16" t="n">
        <x:v>2</x:v>
      </x:c>
      <x:c r="J109" s="16" t="n">
        <x:v>2</x:v>
      </x:c>
      <x:c r="K109" s="16" t="n">
        <x:v>4</x:v>
      </x:c>
      <x:c r="L109" s="16" t="n">
        <x:v>0</x:v>
      </x:c>
      <x:c r="M109" s="21" t="str">
        <x:v>英语覆盖全部参考语言，无新增事实；唯一语言仍用 languages 的复数措辞稍不自然。</x:v>
      </x:c>
      <x:c r="N109" s="2" t="str">
        <x:v>gpt-6.1-sol</x:v>
      </x:c>
      <x:c r="O109" s="2" t="str">
        <x:v>ultra</x:v>
      </x:c>
      <x:c r="P109" s="16" t="n">
        <x:f>IF(I109=I309,1,0)</x:f>
        <x:v>1</x:v>
      </x:c>
      <x:c r="Q109" s="16" t="n">
        <x:f>IF(J109=J309,1,0)</x:f>
        <x:v>1</x:v>
      </x:c>
      <x:c r="R109" s="16" t="n">
        <x:f>IF(K109=K309,1,0)</x:f>
        <x:v>1</x:v>
      </x:c>
      <x:c r="S109" s="16" t="n">
        <x:f>IF(L109=L309,1,0)</x:f>
        <x:v>1</x:v>
      </x:c>
      <x:c r="T109" s="16" t="n">
        <x:f>IF(SUM(P109:S109)=4,1,0)</x:f>
        <x:v>1</x:v>
      </x:c>
    </x:row>
    <x:row r="110" ht="40" customHeight="1">
      <x:c r="A110" s="16" t="n">
        <x:v>53</x:v>
      </x:c>
      <x:c r="B110" s="2" t="str">
        <x:v>Q1320985_P136_2</x:v>
      </x:c>
      <x:c r="C110" s="21" t="str">
        <x:v>Name the genre or genres of Mars Needs Moms.</x:v>
      </x:c>
      <x:c r="D110" s="21" t="str">
        <x:v>Mars Needs Moms belongs to the following genres: science fiction film. || The genres of Mars Needs Moms are science fiction film.</x:v>
      </x:c>
      <x:c r="E110" s="16" t="n">
        <x:v>1</x:v>
      </x:c>
      <x:c r="F110" s="21" t="str">
        <x:v>Mars Needs Moms belongs to the following genres: science fiction film.</x:v>
      </x:c>
      <x:c r="G110" s="2" t="str">
        <x:v>A0</x:v>
      </x:c>
      <x:c r="H110" s="2" t="str">
        <x:v>自动评审01</x:v>
      </x:c>
      <x:c r="I110" s="16" t="n">
        <x:v>2</x:v>
      </x:c>
      <x:c r="J110" s="16" t="n">
        <x:v>2</x:v>
      </x:c>
      <x:c r="K110" s="16" t="n">
        <x:v>4</x:v>
      </x:c>
      <x:c r="L110" s="16" t="n">
        <x:v>0</x:v>
      </x:c>
      <x:c r="M110" s="21" t="str">
        <x:v>科幻片这一唯一参考类型正确完整；单项列表写 following genres 稍不自然。</x:v>
      </x:c>
      <x:c r="N110" s="2" t="str">
        <x:v>gpt-6.1-sol</x:v>
      </x:c>
      <x:c r="O110" s="2" t="str">
        <x:v>ultra</x:v>
      </x:c>
      <x:c r="P110" s="16" t="n">
        <x:f>IF(I110=I310,1,0)</x:f>
        <x:v>1</x:v>
      </x:c>
      <x:c r="Q110" s="16" t="n">
        <x:f>IF(J110=J310,1,0)</x:f>
        <x:v>1</x:v>
      </x:c>
      <x:c r="R110" s="16" t="n">
        <x:f>IF(K110=K310,1,0)</x:f>
        <x:v>1</x:v>
      </x:c>
      <x:c r="S110" s="16" t="n">
        <x:f>IF(L110=L310,1,0)</x:f>
        <x:v>1</x:v>
      </x:c>
      <x:c r="T110" s="16" t="n">
        <x:f>IF(SUM(P110:S110)=4,1,0)</x:f>
        <x:v>1</x:v>
      </x:c>
    </x:row>
    <x:row r="111" ht="40" customHeight="1">
      <x:c r="A111" s="16" t="n">
        <x:v>53</x:v>
      </x:c>
      <x:c r="B111" s="2" t="str">
        <x:v>Q1320985_P136_2</x:v>
      </x:c>
      <x:c r="C111" s="21" t="str">
        <x:v>Name the genre or genres of Mars Needs Moms.</x:v>
      </x:c>
      <x:c r="D111" s="21" t="str">
        <x:v>Mars Needs Moms belongs to the following genres: science fiction film. || The genres of Mars Needs Moms are science fiction film.</x:v>
      </x:c>
      <x:c r="E111" s="16" t="n">
        <x:v>2</x:v>
      </x:c>
      <x:c r="F111" s="21" t="str">
        <x:v>Mars Needs Moms belongs to the following genres: science fiction film.</x:v>
      </x:c>
      <x:c r="G111" s="2" t="str">
        <x:v>B0</x:v>
      </x:c>
      <x:c r="H111" s="2" t="str">
        <x:v>自动评审01</x:v>
      </x:c>
      <x:c r="I111" s="16" t="n">
        <x:v>2</x:v>
      </x:c>
      <x:c r="J111" s="16" t="n">
        <x:v>2</x:v>
      </x:c>
      <x:c r="K111" s="16" t="n">
        <x:v>4</x:v>
      </x:c>
      <x:c r="L111" s="16" t="n">
        <x:v>0</x:v>
      </x:c>
      <x:c r="M111" s="21" t="str">
        <x:v>Mars Needs Moms 的 science fiction film 类型符合参考；仅一类却用 genres，属轻微单复数问题。</x:v>
      </x:c>
      <x:c r="N111" s="2" t="str">
        <x:v>gpt-6.1-sol</x:v>
      </x:c>
      <x:c r="O111" s="2" t="str">
        <x:v>ultra</x:v>
      </x:c>
      <x:c r="P111" s="16" t="n">
        <x:f>IF(I111=I311,1,0)</x:f>
        <x:v>1</x:v>
      </x:c>
      <x:c r="Q111" s="16" t="n">
        <x:f>IF(J111=J311,1,0)</x:f>
        <x:v>1</x:v>
      </x:c>
      <x:c r="R111" s="16" t="n">
        <x:f>IF(K111=K311,1,0)</x:f>
        <x:v>1</x:v>
      </x:c>
      <x:c r="S111" s="16" t="n">
        <x:f>IF(L111=L311,1,0)</x:f>
        <x:v>1</x:v>
      </x:c>
      <x:c r="T111" s="16" t="n">
        <x:f>IF(SUM(P111:S111)=4,1,0)</x:f>
        <x:v>1</x:v>
      </x:c>
    </x:row>
    <x:row r="112" ht="40" customHeight="1">
      <x:c r="A112" s="16" t="n">
        <x:v>54</x:v>
      </x:c>
      <x:c r="B112" s="2" t="str">
        <x:v>Q146605_P57_1</x:v>
      </x:c>
      <x:c r="C112" s="21" t="str">
        <x:v>Who was the director of Zandalee?</x:v>
      </x:c>
      <x:c r="D112" s="21" t="str">
        <x:v>Zandalee was directed by Sam Pillsbury. || The director or directors of Zandalee are Sam Pillsbury.</x:v>
      </x:c>
      <x:c r="E112" s="16" t="n">
        <x:v>1</x:v>
      </x:c>
      <x:c r="F112" s="21" t="str">
        <x:v>Zandalee was directed by Sam Pillsbury.</x:v>
      </x:c>
      <x:c r="G112" s="2" t="str">
        <x:v>B0</x:v>
      </x:c>
      <x:c r="H112" s="2" t="str">
        <x:v>自动评审01</x:v>
      </x:c>
      <x:c r="I112" s="16" t="n">
        <x:v>2</x:v>
      </x:c>
      <x:c r="J112" s="16" t="n">
        <x:v>2</x:v>
      </x:c>
      <x:c r="K112" s="16" t="n">
        <x:v>5</x:v>
      </x:c>
      <x:c r="L112" s="16" t="n">
        <x:v>0</x:v>
      </x:c>
      <x:c r="M112" s="21" t="str">
        <x:v>Sam Pillsbury 是参考导演，电影与人物关系正确完整，句子自然。</x:v>
      </x:c>
      <x:c r="N112" s="2" t="str">
        <x:v>gpt-6.1-sol</x:v>
      </x:c>
      <x:c r="O112" s="2" t="str">
        <x:v>ultra</x:v>
      </x:c>
      <x:c r="P112" s="16" t="n">
        <x:f>IF(I112=I312,1,0)</x:f>
        <x:v>1</x:v>
      </x:c>
      <x:c r="Q112" s="16" t="n">
        <x:f>IF(J112=J312,1,0)</x:f>
        <x:v>1</x:v>
      </x:c>
      <x:c r="R112" s="16" t="n">
        <x:f>IF(K112=K312,1,0)</x:f>
        <x:v>1</x:v>
      </x:c>
      <x:c r="S112" s="16" t="n">
        <x:f>IF(L112=L312,1,0)</x:f>
        <x:v>1</x:v>
      </x:c>
      <x:c r="T112" s="16" t="n">
        <x:f>IF(SUM(P112:S112)=4,1,0)</x:f>
        <x:v>1</x:v>
      </x:c>
    </x:row>
    <x:row r="113" ht="40" customHeight="1">
      <x:c r="A113" s="16" t="n">
        <x:v>54</x:v>
      </x:c>
      <x:c r="B113" s="2" t="str">
        <x:v>Q146605_P57_1</x:v>
      </x:c>
      <x:c r="C113" s="21" t="str">
        <x:v>Who was the director of Zandalee?</x:v>
      </x:c>
      <x:c r="D113" s="21" t="str">
        <x:v>Zandalee was directed by Sam Pillsbury. || The director or directors of Zandalee are Sam Pillsbury.</x:v>
      </x:c>
      <x:c r="E113" s="16" t="n">
        <x:v>2</x:v>
      </x:c>
      <x:c r="F113" s="21" t="str">
        <x:v>Zandalee was directed by Sam Pillsbury.</x:v>
      </x:c>
      <x:c r="G113" s="2" t="str">
        <x:v>A0</x:v>
      </x:c>
      <x:c r="H113" s="2" t="str">
        <x:v>自动评审01</x:v>
      </x:c>
      <x:c r="I113" s="16" t="n">
        <x:v>2</x:v>
      </x:c>
      <x:c r="J113" s="16" t="n">
        <x:v>2</x:v>
      </x:c>
      <x:c r="K113" s="16" t="n">
        <x:v>5</x:v>
      </x:c>
      <x:c r="L113" s="16" t="n">
        <x:v>0</x:v>
      </x:c>
      <x:c r="M113" s="21" t="str">
        <x:v>正确给出 Zandalee 由 Sam Pillsbury 执导，无额外属性，表达清楚流畅。</x:v>
      </x:c>
      <x:c r="N113" s="2" t="str">
        <x:v>gpt-6.1-sol</x:v>
      </x:c>
      <x:c r="O113" s="2" t="str">
        <x:v>ultra</x:v>
      </x:c>
      <x:c r="P113" s="16" t="n">
        <x:f>IF(I113=I313,1,0)</x:f>
        <x:v>1</x:v>
      </x:c>
      <x:c r="Q113" s="16" t="n">
        <x:f>IF(J113=J313,1,0)</x:f>
        <x:v>1</x:v>
      </x:c>
      <x:c r="R113" s="16" t="n">
        <x:f>IF(K113=K313,1,0)</x:f>
        <x:v>1</x:v>
      </x:c>
      <x:c r="S113" s="16" t="n">
        <x:f>IF(L113=L313,1,0)</x:f>
        <x:v>1</x:v>
      </x:c>
      <x:c r="T113" s="16" t="n">
        <x:f>IF(SUM(P113:S113)=4,1,0)</x:f>
        <x:v>1</x:v>
      </x:c>
    </x:row>
    <x:row r="114" ht="40" customHeight="1">
      <x:c r="A114" s="16" t="n">
        <x:v>55</x:v>
      </x:c>
      <x:c r="B114" s="2" t="str">
        <x:v>Q207816_P495_1</x:v>
      </x:c>
      <x:c r="C114" s="21" t="str">
        <x:v>What is the country of origin of Bruce Almighty?</x:v>
      </x:c>
      <x:c r="D114" s="21" t="str">
        <x:v>Bruce Almighty originated in United States. || The countries of origin of Bruce Almighty are United States.</x:v>
      </x:c>
      <x:c r="E114" s="16" t="n">
        <x:v>1</x:v>
      </x:c>
      <x:c r="F114" s="21" t="str">
        <x:v>Bruce Almighty originated in United States.</x:v>
      </x:c>
      <x:c r="G114" s="2" t="str">
        <x:v>B0</x:v>
      </x:c>
      <x:c r="H114" s="2" t="str">
        <x:v>自动评审01</x:v>
      </x:c>
      <x:c r="I114" s="16" t="n">
        <x:v>2</x:v>
      </x:c>
      <x:c r="J114" s="16" t="n">
        <x:v>2</x:v>
      </x:c>
      <x:c r="K114" s="16" t="n">
        <x:v>4</x:v>
      </x:c>
      <x:c r="L114" s="16" t="n">
        <x:v>0</x:v>
      </x:c>
      <x:c r="M114" s="21" t="str">
        <x:v>Bruce Almighty 的美国来源正确齐全；United States 国名前缺少 the。</x:v>
      </x:c>
      <x:c r="N114" s="2" t="str">
        <x:v>gpt-6.1-sol</x:v>
      </x:c>
      <x:c r="O114" s="2" t="str">
        <x:v>ultra</x:v>
      </x:c>
      <x:c r="P114" s="16" t="n">
        <x:f>IF(I114=I314,1,0)</x:f>
        <x:v>1</x:v>
      </x:c>
      <x:c r="Q114" s="16" t="n">
        <x:f>IF(J114=J314,1,0)</x:f>
        <x:v>1</x:v>
      </x:c>
      <x:c r="R114" s="16" t="n">
        <x:f>IF(K114=K314,1,0)</x:f>
        <x:v>1</x:v>
      </x:c>
      <x:c r="S114" s="16" t="n">
        <x:f>IF(L114=L314,1,0)</x:f>
        <x:v>1</x:v>
      </x:c>
      <x:c r="T114" s="16" t="n">
        <x:f>IF(SUM(P114:S114)=4,1,0)</x:f>
        <x:v>1</x:v>
      </x:c>
    </x:row>
    <x:row r="115" ht="40" customHeight="1">
      <x:c r="A115" s="16" t="n">
        <x:v>55</x:v>
      </x:c>
      <x:c r="B115" s="2" t="str">
        <x:v>Q207816_P495_1</x:v>
      </x:c>
      <x:c r="C115" s="21" t="str">
        <x:v>What is the country of origin of Bruce Almighty?</x:v>
      </x:c>
      <x:c r="D115" s="21" t="str">
        <x:v>Bruce Almighty originated in United States. || The countries of origin of Bruce Almighty are United States.</x:v>
      </x:c>
      <x:c r="E115" s="16" t="n">
        <x:v>2</x:v>
      </x:c>
      <x:c r="F115" s="21" t="str">
        <x:v>Bruce Almighty originated in United States.</x:v>
      </x:c>
      <x:c r="G115" s="2" t="str">
        <x:v>A0</x:v>
      </x:c>
      <x:c r="H115" s="2" t="str">
        <x:v>自动评审01</x:v>
      </x:c>
      <x:c r="I115" s="16" t="n">
        <x:v>2</x:v>
      </x:c>
      <x:c r="J115" s="16" t="n">
        <x:v>2</x:v>
      </x:c>
      <x:c r="K115" s="16" t="n">
        <x:v>4</x:v>
      </x:c>
      <x:c r="L115" s="16" t="n">
        <x:v>0</x:v>
      </x:c>
      <x:c r="M115" s="21" t="str">
        <x:v>完整回答美国这一唯一产地，未扩展国家事实；in United States 漏定冠词。</x:v>
      </x:c>
      <x:c r="N115" s="2" t="str">
        <x:v>gpt-6.1-sol</x:v>
      </x:c>
      <x:c r="O115" s="2" t="str">
        <x:v>ultra</x:v>
      </x:c>
      <x:c r="P115" s="16" t="n">
        <x:f>IF(I115=I315,1,0)</x:f>
        <x:v>1</x:v>
      </x:c>
      <x:c r="Q115" s="16" t="n">
        <x:f>IF(J115=J315,1,0)</x:f>
        <x:v>1</x:v>
      </x:c>
      <x:c r="R115" s="16" t="n">
        <x:f>IF(K115=K315,1,0)</x:f>
        <x:v>1</x:v>
      </x:c>
      <x:c r="S115" s="16" t="n">
        <x:f>IF(L115=L315,1,0)</x:f>
        <x:v>1</x:v>
      </x:c>
      <x:c r="T115" s="16" t="n">
        <x:f>IF(SUM(P115:S115)=4,1,0)</x:f>
        <x:v>1</x:v>
      </x:c>
    </x:row>
    <x:row r="116" ht="54" customHeight="1">
      <x:c r="A116" s="16" t="n">
        <x:v>56</x:v>
      </x:c>
      <x:c r="B116" s="2" t="str">
        <x:v>Q21010856_P136_2</x:v>
      </x:c>
      <x:c r="C116" s="21" t="str">
        <x:v>Name the genre or genres of Hacksaw Ridge.</x:v>
      </x:c>
      <x:c r="D116" s="21" t="str">
        <x:v>Hacksaw Ridge belongs to the following genres: drama film, war film and biographical film. || The genres of Hacksaw Ridge are drama film, war film and biographical film.</x:v>
      </x:c>
      <x:c r="E116" s="16" t="n">
        <x:v>1</x:v>
      </x:c>
      <x:c r="F116" s="21" t="str">
        <x:v>Hacksaw Ridge belongs to the following genres: drama film, war film and biographical film.</x:v>
      </x:c>
      <x:c r="G116" s="2" t="str">
        <x:v>B0</x:v>
      </x:c>
      <x:c r="H116" s="2" t="str">
        <x:v>自动评审01</x:v>
      </x:c>
      <x:c r="I116" s="16" t="n">
        <x:v>2</x:v>
      </x:c>
      <x:c r="J116" s="16" t="n">
        <x:v>2</x:v>
      </x:c>
      <x:c r="K116" s="16" t="n">
        <x:v>5</x:v>
      </x:c>
      <x:c r="L116" s="16" t="n">
        <x:v>0</x:v>
      </x:c>
      <x:c r="M116" s="21" t="str">
        <x:v>剧情片、战争片和传记片三项正确完整，列举自然，无新增类型。</x:v>
      </x:c>
      <x:c r="N116" s="2" t="str">
        <x:v>gpt-6.1-sol</x:v>
      </x:c>
      <x:c r="O116" s="2" t="str">
        <x:v>ultra</x:v>
      </x:c>
      <x:c r="P116" s="16" t="n">
        <x:f>IF(I116=I316,1,0)</x:f>
        <x:v>1</x:v>
      </x:c>
      <x:c r="Q116" s="16" t="n">
        <x:f>IF(J116=J316,1,0)</x:f>
        <x:v>1</x:v>
      </x:c>
      <x:c r="R116" s="16" t="n">
        <x:f>IF(K116=K316,1,0)</x:f>
        <x:v>1</x:v>
      </x:c>
      <x:c r="S116" s="16" t="n">
        <x:f>IF(L116=L316,1,0)</x:f>
        <x:v>1</x:v>
      </x:c>
      <x:c r="T116" s="16" t="n">
        <x:f>IF(SUM(P116:S116)=4,1,0)</x:f>
        <x:v>1</x:v>
      </x:c>
    </x:row>
    <x:row r="117" ht="54" customHeight="1">
      <x:c r="A117" s="16" t="n">
        <x:v>56</x:v>
      </x:c>
      <x:c r="B117" s="2" t="str">
        <x:v>Q21010856_P136_2</x:v>
      </x:c>
      <x:c r="C117" s="21" t="str">
        <x:v>Name the genre or genres of Hacksaw Ridge.</x:v>
      </x:c>
      <x:c r="D117" s="21" t="str">
        <x:v>Hacksaw Ridge belongs to the following genres: drama film, war film and biographical film. || The genres of Hacksaw Ridge are drama film, war film and biographical film.</x:v>
      </x:c>
      <x:c r="E117" s="16" t="n">
        <x:v>2</x:v>
      </x:c>
      <x:c r="F117" s="21" t="str">
        <x:v>Hacksaw Ridge belongs to the following genres: drama film, war film and biographical film.</x:v>
      </x:c>
      <x:c r="G117" s="2" t="str">
        <x:v>A0</x:v>
      </x:c>
      <x:c r="H117" s="2" t="str">
        <x:v>自动评审01</x:v>
      </x:c>
      <x:c r="I117" s="16" t="n">
        <x:v>2</x:v>
      </x:c>
      <x:c r="J117" s="16" t="n">
        <x:v>2</x:v>
      </x:c>
      <x:c r="K117" s="16" t="n">
        <x:v>5</x:v>
      </x:c>
      <x:c r="L117" s="16" t="n">
        <x:v>0</x:v>
      </x:c>
      <x:c r="M117" s="21" t="str">
        <x:v>Hacksaw Ridge 的 drama film、war film、biographical film 齐全符合参考，句法流畅。</x:v>
      </x:c>
      <x:c r="N117" s="2" t="str">
        <x:v>gpt-6.1-sol</x:v>
      </x:c>
      <x:c r="O117" s="2" t="str">
        <x:v>ultra</x:v>
      </x:c>
      <x:c r="P117" s="16" t="n">
        <x:f>IF(I117=I317,1,0)</x:f>
        <x:v>1</x:v>
      </x:c>
      <x:c r="Q117" s="16" t="n">
        <x:f>IF(J117=J317,1,0)</x:f>
        <x:v>1</x:v>
      </x:c>
      <x:c r="R117" s="16" t="n">
        <x:f>IF(K117=K317,1,0)</x:f>
        <x:v>1</x:v>
      </x:c>
      <x:c r="S117" s="16" t="n">
        <x:f>IF(L117=L317,1,0)</x:f>
        <x:v>1</x:v>
      </x:c>
      <x:c r="T117" s="16" t="n">
        <x:f>IF(SUM(P117:S117)=4,1,0)</x:f>
        <x:v>1</x:v>
      </x:c>
    </x:row>
    <x:row r="118" ht="54" customHeight="1">
      <x:c r="A118" s="16" t="n">
        <x:v>57</x:v>
      </x:c>
      <x:c r="B118" s="2" t="str">
        <x:v>Q303477_P136_1</x:v>
      </x:c>
      <x:c r="C118" s="21" t="str">
        <x:v>Which genres does The Big Country belong to?</x:v>
      </x:c>
      <x:c r="D118" s="21" t="str">
        <x:v>The Big Country belongs to the following genres: drama film and Western film. || The genres of The Big Country are drama film and Western film.</x:v>
      </x:c>
      <x:c r="E118" s="16" t="n">
        <x:v>1</x:v>
      </x:c>
      <x:c r="F118" s="21" t="str">
        <x:v>The Big Country belongs to the following genres: drama film and Western film.</x:v>
      </x:c>
      <x:c r="G118" s="2" t="str">
        <x:v>B0</x:v>
      </x:c>
      <x:c r="H118" s="2" t="str">
        <x:v>自动评审01</x:v>
      </x:c>
      <x:c r="I118" s="16" t="n">
        <x:v>2</x:v>
      </x:c>
      <x:c r="J118" s="16" t="n">
        <x:v>2</x:v>
      </x:c>
      <x:c r="K118" s="16" t="n">
        <x:v>5</x:v>
      </x:c>
      <x:c r="L118" s="16" t="n">
        <x:v>0</x:v>
      </x:c>
      <x:c r="M118" s="21" t="str">
        <x:v>The Big Country 的剧情片和西部片两种类型完整正确，英语表达自然。</x:v>
      </x:c>
      <x:c r="N118" s="2" t="str">
        <x:v>gpt-6.1-sol</x:v>
      </x:c>
      <x:c r="O118" s="2" t="str">
        <x:v>ultra</x:v>
      </x:c>
      <x:c r="P118" s="16" t="n">
        <x:f>IF(I118=I318,1,0)</x:f>
        <x:v>1</x:v>
      </x:c>
      <x:c r="Q118" s="16" t="n">
        <x:f>IF(J118=J318,1,0)</x:f>
        <x:v>1</x:v>
      </x:c>
      <x:c r="R118" s="16" t="n">
        <x:f>IF(K118=K318,1,0)</x:f>
        <x:v>1</x:v>
      </x:c>
      <x:c r="S118" s="16" t="n">
        <x:f>IF(L118=L318,1,0)</x:f>
        <x:v>1</x:v>
      </x:c>
      <x:c r="T118" s="16" t="n">
        <x:f>IF(SUM(P118:S118)=4,1,0)</x:f>
        <x:v>1</x:v>
      </x:c>
    </x:row>
    <x:row r="119" ht="54" customHeight="1">
      <x:c r="A119" s="16" t="n">
        <x:v>57</x:v>
      </x:c>
      <x:c r="B119" s="2" t="str">
        <x:v>Q303477_P136_1</x:v>
      </x:c>
      <x:c r="C119" s="21" t="str">
        <x:v>Which genres does The Big Country belong to?</x:v>
      </x:c>
      <x:c r="D119" s="21" t="str">
        <x:v>The Big Country belongs to the following genres: drama film and Western film. || The genres of The Big Country are drama film and Western film.</x:v>
      </x:c>
      <x:c r="E119" s="16" t="n">
        <x:v>2</x:v>
      </x:c>
      <x:c r="F119" s="21" t="str">
        <x:v>The Big Country belongs to the following genres: drama film and Western film.</x:v>
      </x:c>
      <x:c r="G119" s="2" t="str">
        <x:v>A0</x:v>
      </x:c>
      <x:c r="H119" s="2" t="str">
        <x:v>自动评审01</x:v>
      </x:c>
      <x:c r="I119" s="16" t="n">
        <x:v>2</x:v>
      </x:c>
      <x:c r="J119" s="16" t="n">
        <x:v>2</x:v>
      </x:c>
      <x:c r="K119" s="16" t="n">
        <x:v>5</x:v>
      </x:c>
      <x:c r="L119" s="16" t="n">
        <x:v>0</x:v>
      </x:c>
      <x:c r="M119" s="21" t="str">
        <x:v>drama film 与 Western film 均与参考一致，所问信息齐全，无额外断言。</x:v>
      </x:c>
      <x:c r="N119" s="2" t="str">
        <x:v>gpt-6.1-sol</x:v>
      </x:c>
      <x:c r="O119" s="2" t="str">
        <x:v>ultra</x:v>
      </x:c>
      <x:c r="P119" s="16" t="n">
        <x:f>IF(I119=I319,1,0)</x:f>
        <x:v>1</x:v>
      </x:c>
      <x:c r="Q119" s="16" t="n">
        <x:f>IF(J119=J319,1,0)</x:f>
        <x:v>1</x:v>
      </x:c>
      <x:c r="R119" s="16" t="n">
        <x:f>IF(K119=K319,1,0)</x:f>
        <x:v>1</x:v>
      </x:c>
      <x:c r="S119" s="16" t="n">
        <x:f>IF(L119=L319,1,0)</x:f>
        <x:v>1</x:v>
      </x:c>
      <x:c r="T119" s="16" t="n">
        <x:f>IF(SUM(P119:S119)=4,1,0)</x:f>
        <x:v>1</x:v>
      </x:c>
    </x:row>
    <x:row r="120" ht="40" customHeight="1">
      <x:c r="A120" s="16" t="n">
        <x:v>58</x:v>
      </x:c>
      <x:c r="B120" s="2" t="str">
        <x:v>Q165642_P57_1</x:v>
      </x:c>
      <x:c r="C120" s="21" t="str">
        <x:v>Who was the director of The Eternal Jew?</x:v>
      </x:c>
      <x:c r="D120" s="21" t="str">
        <x:v>The Eternal Jew was directed by Fritz Hippler. || The director or directors of The Eternal Jew are Fritz Hippler.</x:v>
      </x:c>
      <x:c r="E120" s="16" t="n">
        <x:v>1</x:v>
      </x:c>
      <x:c r="F120" s="21" t="str">
        <x:v>The Eternal Jew was directed by Fritz Hippler.</x:v>
      </x:c>
      <x:c r="G120" s="2" t="str">
        <x:v>B0</x:v>
      </x:c>
      <x:c r="H120" s="2" t="str">
        <x:v>自动评审01</x:v>
      </x:c>
      <x:c r="I120" s="16" t="n">
        <x:v>2</x:v>
      </x:c>
      <x:c r="J120" s="16" t="n">
        <x:v>2</x:v>
      </x:c>
      <x:c r="K120" s="16" t="n">
        <x:v>5</x:v>
      </x:c>
      <x:c r="L120" s="16" t="n">
        <x:v>0</x:v>
      </x:c>
      <x:c r="M120" s="21" t="str">
        <x:v>正确给出 The Eternal Jew 的导演 Fritz Hippler，人物及关系完整，表达流畅。</x:v>
      </x:c>
      <x:c r="N120" s="2" t="str">
        <x:v>gpt-6.1-sol</x:v>
      </x:c>
      <x:c r="O120" s="2" t="str">
        <x:v>ultra</x:v>
      </x:c>
      <x:c r="P120" s="16" t="n">
        <x:f>IF(I120=I320,1,0)</x:f>
        <x:v>1</x:v>
      </x:c>
      <x:c r="Q120" s="16" t="n">
        <x:f>IF(J120=J320,1,0)</x:f>
        <x:v>1</x:v>
      </x:c>
      <x:c r="R120" s="16" t="n">
        <x:f>IF(K120=K320,1,0)</x:f>
        <x:v>1</x:v>
      </x:c>
      <x:c r="S120" s="16" t="n">
        <x:f>IF(L120=L320,1,0)</x:f>
        <x:v>1</x:v>
      </x:c>
      <x:c r="T120" s="16" t="n">
        <x:f>IF(SUM(P120:S120)=4,1,0)</x:f>
        <x:v>1</x:v>
      </x:c>
    </x:row>
    <x:row r="121" ht="40" customHeight="1">
      <x:c r="A121" s="16" t="n">
        <x:v>58</x:v>
      </x:c>
      <x:c r="B121" s="2" t="str">
        <x:v>Q165642_P57_1</x:v>
      </x:c>
      <x:c r="C121" s="21" t="str">
        <x:v>Who was the director of The Eternal Jew?</x:v>
      </x:c>
      <x:c r="D121" s="21" t="str">
        <x:v>The Eternal Jew was directed by Fritz Hippler. || The director or directors of The Eternal Jew are Fritz Hippler.</x:v>
      </x:c>
      <x:c r="E121" s="16" t="n">
        <x:v>2</x:v>
      </x:c>
      <x:c r="F121" s="21" t="str">
        <x:v>The Eternal Jew was directed by Fritz Hippler.</x:v>
      </x:c>
      <x:c r="G121" s="2" t="str">
        <x:v>A0</x:v>
      </x:c>
      <x:c r="H121" s="2" t="str">
        <x:v>自动评审01</x:v>
      </x:c>
      <x:c r="I121" s="16" t="n">
        <x:v>2</x:v>
      </x:c>
      <x:c r="J121" s="16" t="n">
        <x:v>2</x:v>
      </x:c>
      <x:c r="K121" s="16" t="n">
        <x:v>5</x:v>
      </x:c>
      <x:c r="L121" s="16" t="n">
        <x:v>0</x:v>
      </x:c>
      <x:c r="M121" s="21" t="str">
        <x:v>Fritz Hippler 与参考导演相符，没有遗漏或事实扩展，被动句自然。</x:v>
      </x:c>
      <x:c r="N121" s="2" t="str">
        <x:v>gpt-6.1-sol</x:v>
      </x:c>
      <x:c r="O121" s="2" t="str">
        <x:v>ultra</x:v>
      </x:c>
      <x:c r="P121" s="16" t="n">
        <x:f>IF(I121=I321,1,0)</x:f>
        <x:v>1</x:v>
      </x:c>
      <x:c r="Q121" s="16" t="n">
        <x:f>IF(J121=J321,1,0)</x:f>
        <x:v>1</x:v>
      </x:c>
      <x:c r="R121" s="16" t="n">
        <x:f>IF(K121=K321,1,0)</x:f>
        <x:v>1</x:v>
      </x:c>
      <x:c r="S121" s="16" t="n">
        <x:f>IF(L121=L321,1,0)</x:f>
        <x:v>1</x:v>
      </x:c>
      <x:c r="T121" s="16" t="n">
        <x:f>IF(SUM(P121:S121)=4,1,0)</x:f>
        <x:v>1</x:v>
      </x:c>
    </x:row>
    <x:row r="122" ht="54" customHeight="1">
      <x:c r="A122" s="16" t="n">
        <x:v>59</x:v>
      </x:c>
      <x:c r="B122" s="2" t="str">
        <x:v>Q145688_P136_0</x:v>
      </x:c>
      <x:c r="C122" s="21" t="str">
        <x:v>What genre is Vi hade i alla fall tur med vädret – igen?</x:v>
      </x:c>
      <x:c r="D122" s="21" t="str">
        <x:v>Vi hade i alla fall tur med vädret – igen belongs to the following genres: comedy film. || The genres of Vi hade i alla fall tur med vädret – igen are comedy film.</x:v>
      </x:c>
      <x:c r="E122" s="16" t="n">
        <x:v>1</x:v>
      </x:c>
      <x:c r="F122" s="21" t="str">
        <x:v>Vi hade i alla fall tur med vädret – igen belongs to the following genres: comedy film.</x:v>
      </x:c>
      <x:c r="G122" s="2" t="str">
        <x:v>A0</x:v>
      </x:c>
      <x:c r="H122" s="2" t="str">
        <x:v>自动评审01</x:v>
      </x:c>
      <x:c r="I122" s="16" t="n">
        <x:v>2</x:v>
      </x:c>
      <x:c r="J122" s="16" t="n">
        <x:v>2</x:v>
      </x:c>
      <x:c r="K122" s="16" t="n">
        <x:v>4</x:v>
      </x:c>
      <x:c r="L122" s="16" t="n">
        <x:v>0</x:v>
      </x:c>
      <x:c r="M122" s="21" t="str">
        <x:v>喜剧片这一类型正确完整；仅一类却用 following genres，略不自然，瑞典语片名字符本身不扣分。</x:v>
      </x:c>
      <x:c r="N122" s="2" t="str">
        <x:v>gpt-6.1-sol</x:v>
      </x:c>
      <x:c r="O122" s="2" t="str">
        <x:v>ultra</x:v>
      </x:c>
      <x:c r="P122" s="16" t="n">
        <x:f>IF(I122=I322,1,0)</x:f>
        <x:v>1</x:v>
      </x:c>
      <x:c r="Q122" s="16" t="n">
        <x:f>IF(J122=J322,1,0)</x:f>
        <x:v>1</x:v>
      </x:c>
      <x:c r="R122" s="16" t="n">
        <x:f>IF(K122=K322,1,0)</x:f>
        <x:v>1</x:v>
      </x:c>
      <x:c r="S122" s="16" t="n">
        <x:f>IF(L122=L322,1,0)</x:f>
        <x:v>1</x:v>
      </x:c>
      <x:c r="T122" s="16" t="n">
        <x:f>IF(SUM(P122:S122)=4,1,0)</x:f>
        <x:v>1</x:v>
      </x:c>
    </x:row>
    <x:row r="123" ht="54" customHeight="1">
      <x:c r="A123" s="16" t="n">
        <x:v>59</x:v>
      </x:c>
      <x:c r="B123" s="2" t="str">
        <x:v>Q145688_P136_0</x:v>
      </x:c>
      <x:c r="C123" s="21" t="str">
        <x:v>What genre is Vi hade i alla fall tur med vädret – igen?</x:v>
      </x:c>
      <x:c r="D123" s="21" t="str">
        <x:v>Vi hade i alla fall tur med vädret – igen belongs to the following genres: comedy film. || The genres of Vi hade i alla fall tur med vädret – igen are comedy film.</x:v>
      </x:c>
      <x:c r="E123" s="16" t="n">
        <x:v>2</x:v>
      </x:c>
      <x:c r="F123" s="21" t="str">
        <x:v>Vi hade i alla fall tur med vädret – igen belongs to the following genres: comedy film.</x:v>
      </x:c>
      <x:c r="G123" s="2" t="str">
        <x:v>B0</x:v>
      </x:c>
      <x:c r="H123" s="2" t="str">
        <x:v>自动评审01</x:v>
      </x:c>
      <x:c r="I123" s="16" t="n">
        <x:v>2</x:v>
      </x:c>
      <x:c r="J123" s="16" t="n">
        <x:v>2</x:v>
      </x:c>
      <x:c r="K123" s="16" t="n">
        <x:v>4</x:v>
      </x:c>
      <x:c r="L123" s="16" t="n">
        <x:v>0</x:v>
      </x:c>
      <x:c r="M123" s="21" t="str">
        <x:v>comedy film 覆盖全部参考类型，片名准确；单项类型用 genres 的复数措辞稍生硬。</x:v>
      </x:c>
      <x:c r="N123" s="2" t="str">
        <x:v>gpt-6.1-sol</x:v>
      </x:c>
      <x:c r="O123" s="2" t="str">
        <x:v>ultra</x:v>
      </x:c>
      <x:c r="P123" s="16" t="n">
        <x:f>IF(I123=I323,1,0)</x:f>
        <x:v>1</x:v>
      </x:c>
      <x:c r="Q123" s="16" t="n">
        <x:f>IF(J123=J323,1,0)</x:f>
        <x:v>1</x:v>
      </x:c>
      <x:c r="R123" s="16" t="n">
        <x:f>IF(K123=K323,1,0)</x:f>
        <x:v>1</x:v>
      </x:c>
      <x:c r="S123" s="16" t="n">
        <x:f>IF(L123=L323,1,0)</x:f>
        <x:v>1</x:v>
      </x:c>
      <x:c r="T123" s="16" t="n">
        <x:f>IF(SUM(P123:S123)=4,1,0)</x:f>
        <x:v>1</x:v>
      </x:c>
    </x:row>
    <x:row r="124" ht="40" customHeight="1">
      <x:c r="A124" s="16" t="n">
        <x:v>60</x:v>
      </x:c>
      <x:c r="B124" s="2" t="str">
        <x:v>Q409022_P364_2</x:v>
      </x:c>
      <x:c r="C124" s="21" t="str">
        <x:v>Name the original language or languages of Airport.</x:v>
      </x:c>
      <x:c r="D124" s="21" t="str">
        <x:v>The original languages of Airport are English. || Airport was originally made in English.</x:v>
      </x:c>
      <x:c r="E124" s="16" t="n">
        <x:v>1</x:v>
      </x:c>
      <x:c r="F124" s="21" t="str">
        <x:v>The original languages of Airport are English.</x:v>
      </x:c>
      <x:c r="G124" s="2" t="str">
        <x:v>A0</x:v>
      </x:c>
      <x:c r="H124" s="2" t="str">
        <x:v>自动评审01</x:v>
      </x:c>
      <x:c r="I124" s="16" t="n">
        <x:v>2</x:v>
      </x:c>
      <x:c r="J124" s="16" t="n">
        <x:v>2</x:v>
      </x:c>
      <x:c r="K124" s="16" t="n">
        <x:v>4</x:v>
      </x:c>
      <x:c r="L124" s="16" t="n">
        <x:v>0</x:v>
      </x:c>
      <x:c r="M124" s="21" t="str">
        <x:v>Airport 的 English 原始语言正确完整；单门语言用复数 languages are 略别扭。</x:v>
      </x:c>
      <x:c r="N124" s="2" t="str">
        <x:v>gpt-6.1-sol</x:v>
      </x:c>
      <x:c r="O124" s="2" t="str">
        <x:v>ultra</x:v>
      </x:c>
      <x:c r="P124" s="16" t="n">
        <x:f>IF(I124=I324,1,0)</x:f>
        <x:v>1</x:v>
      </x:c>
      <x:c r="Q124" s="16" t="n">
        <x:f>IF(J124=J324,1,0)</x:f>
        <x:v>1</x:v>
      </x:c>
      <x:c r="R124" s="16" t="n">
        <x:f>IF(K124=K324,1,0)</x:f>
        <x:v>1</x:v>
      </x:c>
      <x:c r="S124" s="16" t="n">
        <x:f>IF(L124=L324,1,0)</x:f>
        <x:v>1</x:v>
      </x:c>
      <x:c r="T124" s="16" t="n">
        <x:f>IF(SUM(P124:S124)=4,1,0)</x:f>
        <x:v>1</x:v>
      </x:c>
    </x:row>
    <x:row r="125" ht="40" customHeight="1">
      <x:c r="A125" s="16" t="n">
        <x:v>60</x:v>
      </x:c>
      <x:c r="B125" s="2" t="str">
        <x:v>Q409022_P364_2</x:v>
      </x:c>
      <x:c r="C125" s="21" t="str">
        <x:v>Name the original language or languages of Airport.</x:v>
      </x:c>
      <x:c r="D125" s="21" t="str">
        <x:v>The original languages of Airport are English. || Airport was originally made in English.</x:v>
      </x:c>
      <x:c r="E125" s="16" t="n">
        <x:v>2</x:v>
      </x:c>
      <x:c r="F125" s="21" t="str">
        <x:v>The original languages of Airport are English.</x:v>
      </x:c>
      <x:c r="G125" s="2" t="str">
        <x:v>B0</x:v>
      </x:c>
      <x:c r="H125" s="2" t="str">
        <x:v>自动评审01</x:v>
      </x:c>
      <x:c r="I125" s="16" t="n">
        <x:v>2</x:v>
      </x:c>
      <x:c r="J125" s="16" t="n">
        <x:v>2</x:v>
      </x:c>
      <x:c r="K125" s="16" t="n">
        <x:v>4</x:v>
      </x:c>
      <x:c r="L125" s="16" t="n">
        <x:v>0</x:v>
      </x:c>
      <x:c r="M125" s="21" t="str">
        <x:v>英语为参考唯一语言，答案齐全无新增内容；复数 languages 对单项稍不自然。</x:v>
      </x:c>
      <x:c r="N125" s="2" t="str">
        <x:v>gpt-6.1-sol</x:v>
      </x:c>
      <x:c r="O125" s="2" t="str">
        <x:v>ultra</x:v>
      </x:c>
      <x:c r="P125" s="16" t="n">
        <x:f>IF(I125=I325,1,0)</x:f>
        <x:v>1</x:v>
      </x:c>
      <x:c r="Q125" s="16" t="n">
        <x:f>IF(J125=J325,1,0)</x:f>
        <x:v>1</x:v>
      </x:c>
      <x:c r="R125" s="16" t="n">
        <x:f>IF(K125=K325,1,0)</x:f>
        <x:v>1</x:v>
      </x:c>
      <x:c r="S125" s="16" t="n">
        <x:f>IF(L125=L325,1,0)</x:f>
        <x:v>1</x:v>
      </x:c>
      <x:c r="T125" s="16" t="n">
        <x:f>IF(SUM(P125:S125)=4,1,0)</x:f>
        <x:v>1</x:v>
      </x:c>
    </x:row>
    <x:row r="126" ht="54" customHeight="1">
      <x:c r="A126" s="16" t="n">
        <x:v>61</x:v>
      </x:c>
      <x:c r="B126" s="2" t="str">
        <x:v>Q325643_P136_0</x:v>
      </x:c>
      <x:c r="C126" s="21" t="str">
        <x:v>What genre is Who's Afraid of Virginia Woolf??</x:v>
      </x:c>
      <x:c r="D126" s="21" t="str">
        <x:v>Who's Afraid of Virginia Woolf? belongs to the following genres: drama film. || The genres of Who's Afraid of Virginia Woolf? are drama film.</x:v>
      </x:c>
      <x:c r="E126" s="16" t="n">
        <x:v>1</x:v>
      </x:c>
      <x:c r="F126" s="21" t="str">
        <x:v>Who's Afraid of Virginia Woolf? belongs to the following genres: drama film.</x:v>
      </x:c>
      <x:c r="G126" s="2" t="str">
        <x:v>B0</x:v>
      </x:c>
      <x:c r="H126" s="2" t="str">
        <x:v>自动评审01</x:v>
      </x:c>
      <x:c r="I126" s="16" t="n">
        <x:v>2</x:v>
      </x:c>
      <x:c r="J126" s="16" t="n">
        <x:v>2</x:v>
      </x:c>
      <x:c r="K126" s="16" t="n">
        <x:v>4</x:v>
      </x:c>
      <x:c r="L126" s="16" t="n">
        <x:v>0</x:v>
      </x:c>
      <x:c r="M126" s="21" t="str">
        <x:v>剧情片这一唯一参考类型正确完整；following genres 复数用于单项略生硬，片名问号本身不扣分。</x:v>
      </x:c>
      <x:c r="N126" s="2" t="str">
        <x:v>gpt-6.1-sol</x:v>
      </x:c>
      <x:c r="O126" s="2" t="str">
        <x:v>ultra</x:v>
      </x:c>
      <x:c r="P126" s="16" t="n">
        <x:f>IF(I126=I326,1,0)</x:f>
        <x:v>1</x:v>
      </x:c>
      <x:c r="Q126" s="16" t="n">
        <x:f>IF(J126=J326,1,0)</x:f>
        <x:v>1</x:v>
      </x:c>
      <x:c r="R126" s="16" t="n">
        <x:f>IF(K126=K326,1,0)</x:f>
        <x:v>1</x:v>
      </x:c>
      <x:c r="S126" s="16" t="n">
        <x:f>IF(L126=L326,1,0)</x:f>
        <x:v>1</x:v>
      </x:c>
      <x:c r="T126" s="16" t="n">
        <x:f>IF(SUM(P126:S126)=4,1,0)</x:f>
        <x:v>1</x:v>
      </x:c>
    </x:row>
    <x:row r="127" ht="54" customHeight="1">
      <x:c r="A127" s="16" t="n">
        <x:v>61</x:v>
      </x:c>
      <x:c r="B127" s="2" t="str">
        <x:v>Q325643_P136_0</x:v>
      </x:c>
      <x:c r="C127" s="21" t="str">
        <x:v>What genre is Who's Afraid of Virginia Woolf??</x:v>
      </x:c>
      <x:c r="D127" s="21" t="str">
        <x:v>Who's Afraid of Virginia Woolf? belongs to the following genres: drama film. || The genres of Who's Afraid of Virginia Woolf? are drama film.</x:v>
      </x:c>
      <x:c r="E127" s="16" t="n">
        <x:v>2</x:v>
      </x:c>
      <x:c r="F127" s="21" t="str">
        <x:v>Who's Afraid of Virginia Woolf? belongs to the following genres: drama film.</x:v>
      </x:c>
      <x:c r="G127" s="2" t="str">
        <x:v>A0</x:v>
      </x:c>
      <x:c r="H127" s="2" t="str">
        <x:v>自动评审01</x:v>
      </x:c>
      <x:c r="I127" s="16" t="n">
        <x:v>2</x:v>
      </x:c>
      <x:c r="J127" s="16" t="n">
        <x:v>2</x:v>
      </x:c>
      <x:c r="K127" s="16" t="n">
        <x:v>4</x:v>
      </x:c>
      <x:c r="L127" s="16" t="n">
        <x:v>0</x:v>
      </x:c>
      <x:c r="M127" s="21" t="str">
        <x:v>Who's Afraid of Virginia Woolf? 的 drama film 类型符合参考；仅一类却用 genres，措辞稍不自然。</x:v>
      </x:c>
      <x:c r="N127" s="2" t="str">
        <x:v>gpt-6.1-sol</x:v>
      </x:c>
      <x:c r="O127" s="2" t="str">
        <x:v>ultra</x:v>
      </x:c>
      <x:c r="P127" s="16" t="n">
        <x:f>IF(I127=I327,1,0)</x:f>
        <x:v>1</x:v>
      </x:c>
      <x:c r="Q127" s="16" t="n">
        <x:f>IF(J127=J327,1,0)</x:f>
        <x:v>1</x:v>
      </x:c>
      <x:c r="R127" s="16" t="n">
        <x:f>IF(K127=K327,1,0)</x:f>
        <x:v>1</x:v>
      </x:c>
      <x:c r="S127" s="16" t="n">
        <x:f>IF(L127=L327,1,0)</x:f>
        <x:v>1</x:v>
      </x:c>
      <x:c r="T127" s="16" t="n">
        <x:f>IF(SUM(P127:S127)=4,1,0)</x:f>
        <x:v>1</x:v>
      </x:c>
    </x:row>
    <x:row r="128" ht="40" customHeight="1">
      <x:c r="A128" s="16" t="n">
        <x:v>62</x:v>
      </x:c>
      <x:c r="B128" s="2" t="str">
        <x:v>Q277281_P364_0</x:v>
      </x:c>
      <x:c r="C128" s="21" t="str">
        <x:v>What is the original language of Love on the Run?</x:v>
      </x:c>
      <x:c r="D128" s="21" t="str">
        <x:v>The original languages of Love on the Run are French. || Love on the Run was originally made in French.</x:v>
      </x:c>
      <x:c r="E128" s="16" t="n">
        <x:v>1</x:v>
      </x:c>
      <x:c r="F128" s="21" t="str">
        <x:v>The original languages of Love on the Run are French.</x:v>
      </x:c>
      <x:c r="G128" s="2" t="str">
        <x:v>A0</x:v>
      </x:c>
      <x:c r="H128" s="2" t="str">
        <x:v>自动评审01</x:v>
      </x:c>
      <x:c r="I128" s="16" t="n">
        <x:v>2</x:v>
      </x:c>
      <x:c r="J128" s="16" t="n">
        <x:v>2</x:v>
      </x:c>
      <x:c r="K128" s="16" t="n">
        <x:v>4</x:v>
      </x:c>
      <x:c r="L128" s="16" t="n">
        <x:v>0</x:v>
      </x:c>
      <x:c r="M128" s="21" t="str">
        <x:v>Love on the Run 的 French 原始语言正确且齐全；单门语言配 languages are 略生硬。</x:v>
      </x:c>
      <x:c r="N128" s="2" t="str">
        <x:v>gpt-6.1-sol</x:v>
      </x:c>
      <x:c r="O128" s="2" t="str">
        <x:v>ultra</x:v>
      </x:c>
      <x:c r="P128" s="16" t="n">
        <x:f>IF(I128=I328,1,0)</x:f>
        <x:v>1</x:v>
      </x:c>
      <x:c r="Q128" s="16" t="n">
        <x:f>IF(J128=J328,1,0)</x:f>
        <x:v>1</x:v>
      </x:c>
      <x:c r="R128" s="16" t="n">
        <x:f>IF(K128=K328,1,0)</x:f>
        <x:v>1</x:v>
      </x:c>
      <x:c r="S128" s="16" t="n">
        <x:f>IF(L128=L328,1,0)</x:f>
        <x:v>1</x:v>
      </x:c>
      <x:c r="T128" s="16" t="n">
        <x:f>IF(SUM(P128:S128)=4,1,0)</x:f>
        <x:v>1</x:v>
      </x:c>
    </x:row>
    <x:row r="129" ht="40" customHeight="1">
      <x:c r="A129" s="16" t="n">
        <x:v>62</x:v>
      </x:c>
      <x:c r="B129" s="2" t="str">
        <x:v>Q277281_P364_0</x:v>
      </x:c>
      <x:c r="C129" s="21" t="str">
        <x:v>What is the original language of Love on the Run?</x:v>
      </x:c>
      <x:c r="D129" s="21" t="str">
        <x:v>The original languages of Love on the Run are French. || Love on the Run was originally made in French.</x:v>
      </x:c>
      <x:c r="E129" s="16" t="n">
        <x:v>2</x:v>
      </x:c>
      <x:c r="F129" s="21" t="str">
        <x:v>The original languages of Love on the Run are French.</x:v>
      </x:c>
      <x:c r="G129" s="2" t="str">
        <x:v>B0</x:v>
      </x:c>
      <x:c r="H129" s="2" t="str">
        <x:v>自动评审01</x:v>
      </x:c>
      <x:c r="I129" s="16" t="n">
        <x:v>2</x:v>
      </x:c>
      <x:c r="J129" s="16" t="n">
        <x:v>2</x:v>
      </x:c>
      <x:c r="K129" s="16" t="n">
        <x:v>4</x:v>
      </x:c>
      <x:c r="L129" s="16" t="n">
        <x:v>0</x:v>
      </x:c>
      <x:c r="M129" s="21" t="str">
        <x:v>法语为参考唯一语言，答案完整，无新增语言；单项列表用复数 languages 不够自然。</x:v>
      </x:c>
      <x:c r="N129" s="2" t="str">
        <x:v>gpt-6.1-sol</x:v>
      </x:c>
      <x:c r="O129" s="2" t="str">
        <x:v>ultra</x:v>
      </x:c>
      <x:c r="P129" s="16" t="n">
        <x:f>IF(I129=I329,1,0)</x:f>
        <x:v>1</x:v>
      </x:c>
      <x:c r="Q129" s="16" t="n">
        <x:f>IF(J129=J329,1,0)</x:f>
        <x:v>1</x:v>
      </x:c>
      <x:c r="R129" s="16" t="n">
        <x:f>IF(K129=K329,1,0)</x:f>
        <x:v>1</x:v>
      </x:c>
      <x:c r="S129" s="16" t="n">
        <x:f>IF(L129=L329,1,0)</x:f>
        <x:v>1</x:v>
      </x:c>
      <x:c r="T129" s="16" t="n">
        <x:f>IF(SUM(P129:S129)=4,1,0)</x:f>
        <x:v>1</x:v>
      </x:c>
    </x:row>
    <x:row r="130" ht="40" customHeight="1">
      <x:c r="A130" s="16" t="n">
        <x:v>63</x:v>
      </x:c>
      <x:c r="B130" s="2" t="str">
        <x:v>Q237222_P495_2</x:v>
      </x:c>
      <x:c r="C130" s="21" t="str">
        <x:v>Name the countries of origin of Blood Simple.</x:v>
      </x:c>
      <x:c r="D130" s="21" t="str">
        <x:v>Blood Simple originated in United States. || The countries of origin of Blood Simple are United States.</x:v>
      </x:c>
      <x:c r="E130" s="16" t="n">
        <x:v>1</x:v>
      </x:c>
      <x:c r="F130" s="21" t="str">
        <x:v>Blood Simple originated in United States.</x:v>
      </x:c>
      <x:c r="G130" s="2" t="str">
        <x:v>B0</x:v>
      </x:c>
      <x:c r="H130" s="2" t="str">
        <x:v>自动评审01</x:v>
      </x:c>
      <x:c r="I130" s="16" t="n">
        <x:v>2</x:v>
      </x:c>
      <x:c r="J130" s="16" t="n">
        <x:v>2</x:v>
      </x:c>
      <x:c r="K130" s="16" t="n">
        <x:v>4</x:v>
      </x:c>
      <x:c r="L130" s="16" t="n">
        <x:v>0</x:v>
      </x:c>
      <x:c r="M130" s="21" t="str">
        <x:v>Blood Simple 的美国来源正确完整；United States 前漏定冠词 the。</x:v>
      </x:c>
      <x:c r="N130" s="2" t="str">
        <x:v>gpt-6.1-sol</x:v>
      </x:c>
      <x:c r="O130" s="2" t="str">
        <x:v>ultra</x:v>
      </x:c>
      <x:c r="P130" s="16" t="n">
        <x:f>IF(I130=I330,1,0)</x:f>
        <x:v>1</x:v>
      </x:c>
      <x:c r="Q130" s="16" t="n">
        <x:f>IF(J130=J330,1,0)</x:f>
        <x:v>1</x:v>
      </x:c>
      <x:c r="R130" s="16" t="n">
        <x:f>IF(K130=K330,1,0)</x:f>
        <x:v>1</x:v>
      </x:c>
      <x:c r="S130" s="16" t="n">
        <x:f>IF(L130=L330,1,0)</x:f>
        <x:v>1</x:v>
      </x:c>
      <x:c r="T130" s="16" t="n">
        <x:f>IF(SUM(P130:S130)=4,1,0)</x:f>
        <x:v>1</x:v>
      </x:c>
    </x:row>
    <x:row r="131" ht="40" customHeight="1">
      <x:c r="A131" s="16" t="n">
        <x:v>63</x:v>
      </x:c>
      <x:c r="B131" s="2" t="str">
        <x:v>Q237222_P495_2</x:v>
      </x:c>
      <x:c r="C131" s="21" t="str">
        <x:v>Name the countries of origin of Blood Simple.</x:v>
      </x:c>
      <x:c r="D131" s="21" t="str">
        <x:v>Blood Simple originated in United States. || The countries of origin of Blood Simple are United States.</x:v>
      </x:c>
      <x:c r="E131" s="16" t="n">
        <x:v>2</x:v>
      </x:c>
      <x:c r="F131" s="21" t="str">
        <x:v>Blood Simple originated in United States.</x:v>
      </x:c>
      <x:c r="G131" s="2" t="str">
        <x:v>A0</x:v>
      </x:c>
      <x:c r="H131" s="2" t="str">
        <x:v>自动评审01</x:v>
      </x:c>
      <x:c r="I131" s="16" t="n">
        <x:v>2</x:v>
      </x:c>
      <x:c r="J131" s="16" t="n">
        <x:v>2</x:v>
      </x:c>
      <x:c r="K131" s="16" t="n">
        <x:v>4</x:v>
      </x:c>
      <x:c r="L131" s="16" t="n">
        <x:v>0</x:v>
      </x:c>
      <x:c r="M131" s="21" t="str">
        <x:v>美国这一唯一产地与参考吻合，无额外国家；in United States 缺 the。</x:v>
      </x:c>
      <x:c r="N131" s="2" t="str">
        <x:v>gpt-6.1-sol</x:v>
      </x:c>
      <x:c r="O131" s="2" t="str">
        <x:v>ultra</x:v>
      </x:c>
      <x:c r="P131" s="16" t="n">
        <x:f>IF(I131=I331,1,0)</x:f>
        <x:v>1</x:v>
      </x:c>
      <x:c r="Q131" s="16" t="n">
        <x:f>IF(J131=J331,1,0)</x:f>
        <x:v>1</x:v>
      </x:c>
      <x:c r="R131" s="16" t="n">
        <x:f>IF(K131=K331,1,0)</x:f>
        <x:v>1</x:v>
      </x:c>
      <x:c r="S131" s="16" t="n">
        <x:f>IF(L131=L331,1,0)</x:f>
        <x:v>1</x:v>
      </x:c>
      <x:c r="T131" s="16" t="n">
        <x:f>IF(SUM(P131:S131)=4,1,0)</x:f>
        <x:v>1</x:v>
      </x:c>
    </x:row>
    <x:row r="132" ht="54" customHeight="1">
      <x:c r="A132" s="16" t="n">
        <x:v>64</x:v>
      </x:c>
      <x:c r="B132" s="2" t="str">
        <x:v>Q515450_P57_0</x:v>
      </x:c>
      <x:c r="C132" s="21" t="str">
        <x:v>Who directed Deathstalker IV: Match of Titans?</x:v>
      </x:c>
      <x:c r="D132" s="21" t="str">
        <x:v>Deathstalker IV: Match of Titans was directed by Howard R. Cohen. || The director or directors of Deathstalker IV: Match of Titans are Howard R. Cohen.</x:v>
      </x:c>
      <x:c r="E132" s="16" t="n">
        <x:v>1</x:v>
      </x:c>
      <x:c r="F132" s="21" t="str">
        <x:v>Deathstalker IV: Match of Titans was directed by Howard R. Cohen.</x:v>
      </x:c>
      <x:c r="G132" s="2" t="str">
        <x:v>A0</x:v>
      </x:c>
      <x:c r="H132" s="2" t="str">
        <x:v>自动评审01</x:v>
      </x:c>
      <x:c r="I132" s="16" t="n">
        <x:v>2</x:v>
      </x:c>
      <x:c r="J132" s="16" t="n">
        <x:v>2</x:v>
      </x:c>
      <x:c r="K132" s="16" t="n">
        <x:v>5</x:v>
      </x:c>
      <x:c r="L132" s="16" t="n">
        <x:v>0</x:v>
      </x:c>
      <x:c r="M132" s="21" t="str">
        <x:v>正确给出 Deathstalker IV: Match of Titans 的导演 Howard R. Cohen，关系完整，句子自然。</x:v>
      </x:c>
      <x:c r="N132" s="2" t="str">
        <x:v>gpt-6.1-sol</x:v>
      </x:c>
      <x:c r="O132" s="2" t="str">
        <x:v>ultra</x:v>
      </x:c>
      <x:c r="P132" s="16" t="n">
        <x:f>IF(I132=I332,1,0)</x:f>
        <x:v>1</x:v>
      </x:c>
      <x:c r="Q132" s="16" t="n">
        <x:f>IF(J132=J332,1,0)</x:f>
        <x:v>1</x:v>
      </x:c>
      <x:c r="R132" s="16" t="n">
        <x:f>IF(K132=K332,1,0)</x:f>
        <x:v>1</x:v>
      </x:c>
      <x:c r="S132" s="16" t="n">
        <x:f>IF(L132=L332,1,0)</x:f>
        <x:v>1</x:v>
      </x:c>
      <x:c r="T132" s="16" t="n">
        <x:f>IF(SUM(P132:S132)=4,1,0)</x:f>
        <x:v>1</x:v>
      </x:c>
    </x:row>
    <x:row r="133" ht="54" customHeight="1">
      <x:c r="A133" s="16" t="n">
        <x:v>64</x:v>
      </x:c>
      <x:c r="B133" s="2" t="str">
        <x:v>Q515450_P57_0</x:v>
      </x:c>
      <x:c r="C133" s="21" t="str">
        <x:v>Who directed Deathstalker IV: Match of Titans?</x:v>
      </x:c>
      <x:c r="D133" s="21" t="str">
        <x:v>Deathstalker IV: Match of Titans was directed by Howard R. Cohen. || The director or directors of Deathstalker IV: Match of Titans are Howard R. Cohen.</x:v>
      </x:c>
      <x:c r="E133" s="16" t="n">
        <x:v>2</x:v>
      </x:c>
      <x:c r="F133" s="21" t="str">
        <x:v>Deathstalker IV: Match of Titans was directed by Howard R. Cohen.</x:v>
      </x:c>
      <x:c r="G133" s="2" t="str">
        <x:v>B0</x:v>
      </x:c>
      <x:c r="H133" s="2" t="str">
        <x:v>自动评审01</x:v>
      </x:c>
      <x:c r="I133" s="16" t="n">
        <x:v>2</x:v>
      </x:c>
      <x:c r="J133" s="16" t="n">
        <x:v>2</x:v>
      </x:c>
      <x:c r="K133" s="16" t="n">
        <x:v>5</x:v>
      </x:c>
      <x:c r="L133" s="16" t="n">
        <x:v>0</x:v>
      </x:c>
      <x:c r="M133" s="21" t="str">
        <x:v>Howard R. Cohen 与参考导演一致，无遗漏或额外属性，被动句流畅。</x:v>
      </x:c>
      <x:c r="N133" s="2" t="str">
        <x:v>gpt-6.1-sol</x:v>
      </x:c>
      <x:c r="O133" s="2" t="str">
        <x:v>ultra</x:v>
      </x:c>
      <x:c r="P133" s="16" t="n">
        <x:f>IF(I133=I333,1,0)</x:f>
        <x:v>1</x:v>
      </x:c>
      <x:c r="Q133" s="16" t="n">
        <x:f>IF(J133=J333,1,0)</x:f>
        <x:v>1</x:v>
      </x:c>
      <x:c r="R133" s="16" t="n">
        <x:f>IF(K133=K333,1,0)</x:f>
        <x:v>1</x:v>
      </x:c>
      <x:c r="S133" s="16" t="n">
        <x:f>IF(L133=L333,1,0)</x:f>
        <x:v>1</x:v>
      </x:c>
      <x:c r="T133" s="16" t="n">
        <x:f>IF(SUM(P133:S133)=4,1,0)</x:f>
        <x:v>1</x:v>
      </x:c>
    </x:row>
    <x:row r="134" ht="40" customHeight="1">
      <x:c r="A134" s="16" t="n">
        <x:v>65</x:v>
      </x:c>
      <x:c r="B134" s="2" t="str">
        <x:v>Q54975_P495_1</x:v>
      </x:c>
      <x:c r="C134" s="21" t="str">
        <x:v>What is the country of origin of Kiler-ów 2-óch?</x:v>
      </x:c>
      <x:c r="D134" s="21" t="str">
        <x:v>Kiler-ów 2-óch originated in Poland. || The countries of origin of Kiler-ów 2-óch are Poland.</x:v>
      </x:c>
      <x:c r="E134" s="16" t="n">
        <x:v>1</x:v>
      </x:c>
      <x:c r="F134" s="21" t="str">
        <x:v>Kiler-ów 2-óch originated in Poland.</x:v>
      </x:c>
      <x:c r="G134" s="2" t="str">
        <x:v>B0</x:v>
      </x:c>
      <x:c r="H134" s="2" t="str">
        <x:v>自动评审01</x:v>
      </x:c>
      <x:c r="I134" s="16" t="n">
        <x:v>2</x:v>
      </x:c>
      <x:c r="J134" s="16" t="n">
        <x:v>2</x:v>
      </x:c>
      <x:c r="K134" s="16" t="n">
        <x:v>5</x:v>
      </x:c>
      <x:c r="L134" s="16" t="n">
        <x:v>0</x:v>
      </x:c>
      <x:c r="M134" s="21" t="str">
        <x:v>Kiler-ów 2-óch 的产地 Poland 正确完整；波兰语片名特殊字符不影响自然英语句法。</x:v>
      </x:c>
      <x:c r="N134" s="2" t="str">
        <x:v>gpt-6.1-sol</x:v>
      </x:c>
      <x:c r="O134" s="2" t="str">
        <x:v>ultra</x:v>
      </x:c>
      <x:c r="P134" s="16" t="n">
        <x:f>IF(I134=I334,1,0)</x:f>
        <x:v>1</x:v>
      </x:c>
      <x:c r="Q134" s="16" t="n">
        <x:f>IF(J134=J334,1,0)</x:f>
        <x:v>1</x:v>
      </x:c>
      <x:c r="R134" s="16" t="n">
        <x:f>IF(K134=K334,1,0)</x:f>
        <x:v>1</x:v>
      </x:c>
      <x:c r="S134" s="16" t="n">
        <x:f>IF(L134=L334,1,0)</x:f>
        <x:v>1</x:v>
      </x:c>
      <x:c r="T134" s="16" t="n">
        <x:f>IF(SUM(P134:S134)=4,1,0)</x:f>
        <x:v>1</x:v>
      </x:c>
    </x:row>
    <x:row r="135" ht="40" customHeight="1">
      <x:c r="A135" s="16" t="n">
        <x:v>65</x:v>
      </x:c>
      <x:c r="B135" s="2" t="str">
        <x:v>Q54975_P495_1</x:v>
      </x:c>
      <x:c r="C135" s="21" t="str">
        <x:v>What is the country of origin of Kiler-ów 2-óch?</x:v>
      </x:c>
      <x:c r="D135" s="21" t="str">
        <x:v>Kiler-ów 2-óch originated in Poland. || The countries of origin of Kiler-ów 2-óch are Poland.</x:v>
      </x:c>
      <x:c r="E135" s="16" t="n">
        <x:v>2</x:v>
      </x:c>
      <x:c r="F135" s="21" t="str">
        <x:v>Kiler-ów 2-óch originated in Poland.</x:v>
      </x:c>
      <x:c r="G135" s="2" t="str">
        <x:v>A0</x:v>
      </x:c>
      <x:c r="H135" s="2" t="str">
        <x:v>自动评审01</x:v>
      </x:c>
      <x:c r="I135" s="16" t="n">
        <x:v>2</x:v>
      </x:c>
      <x:c r="J135" s="16" t="n">
        <x:v>2</x:v>
      </x:c>
      <x:c r="K135" s="16" t="n">
        <x:v>5</x:v>
      </x:c>
      <x:c r="L135" s="16" t="n">
        <x:v>0</x:v>
      </x:c>
      <x:c r="M135" s="21" t="str">
        <x:v>正确回答波兰这一唯一来源国家，句子完整清晰，未增加其他事实。</x:v>
      </x:c>
      <x:c r="N135" s="2" t="str">
        <x:v>gpt-6.1-sol</x:v>
      </x:c>
      <x:c r="O135" s="2" t="str">
        <x:v>ultra</x:v>
      </x:c>
      <x:c r="P135" s="16" t="n">
        <x:f>IF(I135=I335,1,0)</x:f>
        <x:v>1</x:v>
      </x:c>
      <x:c r="Q135" s="16" t="n">
        <x:f>IF(J135=J335,1,0)</x:f>
        <x:v>1</x:v>
      </x:c>
      <x:c r="R135" s="16" t="n">
        <x:f>IF(K135=K335,1,0)</x:f>
        <x:v>1</x:v>
      </x:c>
      <x:c r="S135" s="16" t="n">
        <x:f>IF(L135=L335,1,0)</x:f>
        <x:v>1</x:v>
      </x:c>
      <x:c r="T135" s="16" t="n">
        <x:f>IF(SUM(P135:S135)=4,1,0)</x:f>
        <x:v>1</x:v>
      </x:c>
    </x:row>
    <x:row r="136" ht="40" customHeight="1">
      <x:c r="A136" s="16" t="n">
        <x:v>66</x:v>
      </x:c>
      <x:c r="B136" s="2" t="str">
        <x:v>Q1141706_P57_2</x:v>
      </x:c>
      <x:c r="C136" s="21" t="str">
        <x:v>Name the director or directors of The Peacemaker.</x:v>
      </x:c>
      <x:c r="D136" s="21" t="str">
        <x:v>The Peacemaker was directed by Mimi Leder. || The director or directors of The Peacemaker are Mimi Leder.</x:v>
      </x:c>
      <x:c r="E136" s="16" t="n">
        <x:v>1</x:v>
      </x:c>
      <x:c r="F136" s="21" t="str">
        <x:v>The Peacemaker was directed by Mimi Leder.</x:v>
      </x:c>
      <x:c r="G136" s="2" t="str">
        <x:v>B0</x:v>
      </x:c>
      <x:c r="H136" s="2" t="str">
        <x:v>自动评审01</x:v>
      </x:c>
      <x:c r="I136" s="16" t="n">
        <x:v>2</x:v>
      </x:c>
      <x:c r="J136" s="16" t="n">
        <x:v>2</x:v>
      </x:c>
      <x:c r="K136" s="16" t="n">
        <x:v>5</x:v>
      </x:c>
      <x:c r="L136" s="16" t="n">
        <x:v>0</x:v>
      </x:c>
      <x:c r="M136" s="21" t="str">
        <x:v>The Peacemaker 的导演 Mimi Leder 正确齐全，电影关系与参考相符，表达自然。</x:v>
      </x:c>
      <x:c r="N136" s="2" t="str">
        <x:v>gpt-6.1-sol</x:v>
      </x:c>
      <x:c r="O136" s="2" t="str">
        <x:v>ultra</x:v>
      </x:c>
      <x:c r="P136" s="16" t="n">
        <x:f>IF(I136=I336,1,0)</x:f>
        <x:v>1</x:v>
      </x:c>
      <x:c r="Q136" s="16" t="n">
        <x:f>IF(J136=J336,1,0)</x:f>
        <x:v>1</x:v>
      </x:c>
      <x:c r="R136" s="16" t="n">
        <x:f>IF(K136=K336,1,0)</x:f>
        <x:v>1</x:v>
      </x:c>
      <x:c r="S136" s="16" t="n">
        <x:f>IF(L136=L336,1,0)</x:f>
        <x:v>1</x:v>
      </x:c>
      <x:c r="T136" s="16" t="n">
        <x:f>IF(SUM(P136:S136)=4,1,0)</x:f>
        <x:v>1</x:v>
      </x:c>
    </x:row>
    <x:row r="137" ht="40" customHeight="1">
      <x:c r="A137" s="16" t="n">
        <x:v>66</x:v>
      </x:c>
      <x:c r="B137" s="2" t="str">
        <x:v>Q1141706_P57_2</x:v>
      </x:c>
      <x:c r="C137" s="21" t="str">
        <x:v>Name the director or directors of The Peacemaker.</x:v>
      </x:c>
      <x:c r="D137" s="21" t="str">
        <x:v>The Peacemaker was directed by Mimi Leder. || The director or directors of The Peacemaker are Mimi Leder.</x:v>
      </x:c>
      <x:c r="E137" s="16" t="n">
        <x:v>2</x:v>
      </x:c>
      <x:c r="F137" s="21" t="str">
        <x:v>The Peacemaker was directed by Mimi Leder.</x:v>
      </x:c>
      <x:c r="G137" s="2" t="str">
        <x:v>A0</x:v>
      </x:c>
      <x:c r="H137" s="2" t="str">
        <x:v>自动评审01</x:v>
      </x:c>
      <x:c r="I137" s="16" t="n">
        <x:v>2</x:v>
      </x:c>
      <x:c r="J137" s="16" t="n">
        <x:v>2</x:v>
      </x:c>
      <x:c r="K137" s="16" t="n">
        <x:v>5</x:v>
      </x:c>
      <x:c r="L137" s="16" t="n">
        <x:v>0</x:v>
      </x:c>
      <x:c r="M137" s="21" t="str">
        <x:v>正确给出 Mimi Leder 执导 The Peacemaker，无额外身份或事实，句子流畅。</x:v>
      </x:c>
      <x:c r="N137" s="2" t="str">
        <x:v>gpt-6.1-sol</x:v>
      </x:c>
      <x:c r="O137" s="2" t="str">
        <x:v>ultra</x:v>
      </x:c>
      <x:c r="P137" s="16" t="n">
        <x:f>IF(I137=I337,1,0)</x:f>
        <x:v>1</x:v>
      </x:c>
      <x:c r="Q137" s="16" t="n">
        <x:f>IF(J137=J337,1,0)</x:f>
        <x:v>1</x:v>
      </x:c>
      <x:c r="R137" s="16" t="n">
        <x:f>IF(K137=K337,1,0)</x:f>
        <x:v>1</x:v>
      </x:c>
      <x:c r="S137" s="16" t="n">
        <x:f>IF(L137=L337,1,0)</x:f>
        <x:v>1</x:v>
      </x:c>
      <x:c r="T137" s="16" t="n">
        <x:f>IF(SUM(P137:S137)=4,1,0)</x:f>
        <x:v>1</x:v>
      </x:c>
    </x:row>
    <x:row r="138" ht="40" customHeight="1">
      <x:c r="A138" s="16" t="n">
        <x:v>67</x:v>
      </x:c>
      <x:c r="B138" s="2" t="str">
        <x:v>Q112977213_P364_1</x:v>
      </x:c>
      <x:c r="C138" s="21" t="str">
        <x:v>Which languages was Mickey 17 originally made in?</x:v>
      </x:c>
      <x:c r="D138" s="21" t="str">
        <x:v>The original languages of Mickey 17 are English. || Mickey 17 was originally made in English.</x:v>
      </x:c>
      <x:c r="E138" s="16" t="n">
        <x:v>1</x:v>
      </x:c>
      <x:c r="F138" s="21" t="str">
        <x:v>The original languages of Mickey 17 are English.</x:v>
      </x:c>
      <x:c r="G138" s="2" t="str">
        <x:v>A0</x:v>
      </x:c>
      <x:c r="H138" s="2" t="str">
        <x:v>自动评审01</x:v>
      </x:c>
      <x:c r="I138" s="16" t="n">
        <x:v>2</x:v>
      </x:c>
      <x:c r="J138" s="16" t="n">
        <x:v>2</x:v>
      </x:c>
      <x:c r="K138" s="16" t="n">
        <x:v>4</x:v>
      </x:c>
      <x:c r="L138" s="16" t="n">
        <x:v>0</x:v>
      </x:c>
      <x:c r="M138" s="21" t="str">
        <x:v>Mickey 17 的英语原始语言完整正确；仅一门语言却用 languages are，措辞略生硬。</x:v>
      </x:c>
      <x:c r="N138" s="2" t="str">
        <x:v>gpt-6.1-sol</x:v>
      </x:c>
      <x:c r="O138" s="2" t="str">
        <x:v>ultra</x:v>
      </x:c>
      <x:c r="P138" s="16" t="n">
        <x:f>IF(I138=I338,1,0)</x:f>
        <x:v>1</x:v>
      </x:c>
      <x:c r="Q138" s="16" t="n">
        <x:f>IF(J138=J338,1,0)</x:f>
        <x:v>1</x:v>
      </x:c>
      <x:c r="R138" s="16" t="n">
        <x:f>IF(K138=K338,1,0)</x:f>
        <x:v>1</x:v>
      </x:c>
      <x:c r="S138" s="16" t="n">
        <x:f>IF(L138=L338,1,0)</x:f>
        <x:v>1</x:v>
      </x:c>
      <x:c r="T138" s="16" t="n">
        <x:f>IF(SUM(P138:S138)=4,1,0)</x:f>
        <x:v>1</x:v>
      </x:c>
    </x:row>
    <x:row r="139" ht="40" customHeight="1">
      <x:c r="A139" s="16" t="n">
        <x:v>67</x:v>
      </x:c>
      <x:c r="B139" s="2" t="str">
        <x:v>Q112977213_P364_1</x:v>
      </x:c>
      <x:c r="C139" s="21" t="str">
        <x:v>Which languages was Mickey 17 originally made in?</x:v>
      </x:c>
      <x:c r="D139" s="21" t="str">
        <x:v>The original languages of Mickey 17 are English. || Mickey 17 was originally made in English.</x:v>
      </x:c>
      <x:c r="E139" s="16" t="n">
        <x:v>2</x:v>
      </x:c>
      <x:c r="F139" s="21" t="str">
        <x:v>The original languages of Mickey 17 are English.</x:v>
      </x:c>
      <x:c r="G139" s="2" t="str">
        <x:v>B0</x:v>
      </x:c>
      <x:c r="H139" s="2" t="str">
        <x:v>自动评审01</x:v>
      </x:c>
      <x:c r="I139" s="16" t="n">
        <x:v>2</x:v>
      </x:c>
      <x:c r="J139" s="16" t="n">
        <x:v>2</x:v>
      </x:c>
      <x:c r="K139" s="16" t="n">
        <x:v>4</x:v>
      </x:c>
      <x:c r="L139" s="16" t="n">
        <x:v>0</x:v>
      </x:c>
      <x:c r="M139" s="21" t="str">
        <x:v>English 覆盖全部参考语言，未新增内容；单一语言与复数 languages 搭配稍不自然。</x:v>
      </x:c>
      <x:c r="N139" s="2" t="str">
        <x:v>gpt-6.1-sol</x:v>
      </x:c>
      <x:c r="O139" s="2" t="str">
        <x:v>ultra</x:v>
      </x:c>
      <x:c r="P139" s="16" t="n">
        <x:f>IF(I139=I339,1,0)</x:f>
        <x:v>1</x:v>
      </x:c>
      <x:c r="Q139" s="16" t="n">
        <x:f>IF(J139=J339,1,0)</x:f>
        <x:v>1</x:v>
      </x:c>
      <x:c r="R139" s="16" t="n">
        <x:f>IF(K139=K339,1,0)</x:f>
        <x:v>1</x:v>
      </x:c>
      <x:c r="S139" s="16" t="n">
        <x:f>IF(L139=L339,1,0)</x:f>
        <x:v>1</x:v>
      </x:c>
      <x:c r="T139" s="16" t="n">
        <x:f>IF(SUM(P139:S139)=4,1,0)</x:f>
        <x:v>1</x:v>
      </x:c>
    </x:row>
    <x:row r="140" ht="54" customHeight="1">
      <x:c r="A140" s="16" t="n">
        <x:v>68</x:v>
      </x:c>
      <x:c r="B140" s="2" t="str">
        <x:v>Q967478_P136_2</x:v>
      </x:c>
      <x:c r="C140" s="21" t="str">
        <x:v>Name the genre or genres of Johnny English Reborn.</x:v>
      </x:c>
      <x:c r="D140" s="21" t="str">
        <x:v>Johnny English Reborn belongs to the following genres: comedy film, spy film and action comedy film. || The genres of Johnny English Reborn are comedy film, spy film and action comedy film.</x:v>
      </x:c>
      <x:c r="E140" s="16" t="n">
        <x:v>1</x:v>
      </x:c>
      <x:c r="F140" s="21" t="str">
        <x:v>Johnny English Reborn belongs to the following genres: comedy film, spy film and action comedy film.</x:v>
      </x:c>
      <x:c r="G140" s="2" t="str">
        <x:v>B0</x:v>
      </x:c>
      <x:c r="H140" s="2" t="str">
        <x:v>自动评审01</x:v>
      </x:c>
      <x:c r="I140" s="16" t="n">
        <x:v>2</x:v>
      </x:c>
      <x:c r="J140" s="16" t="n">
        <x:v>2</x:v>
      </x:c>
      <x:c r="K140" s="16" t="n">
        <x:v>5</x:v>
      </x:c>
      <x:c r="L140" s="16" t="n">
        <x:v>0</x:v>
      </x:c>
      <x:c r="M140" s="21" t="str">
        <x:v>喜剧片、间谍片及动作喜剧片三项正确齐全，列举清楚，无新类型。</x:v>
      </x:c>
      <x:c r="N140" s="2" t="str">
        <x:v>gpt-6.1-sol</x:v>
      </x:c>
      <x:c r="O140" s="2" t="str">
        <x:v>ultra</x:v>
      </x:c>
      <x:c r="P140" s="16" t="n">
        <x:f>IF(I140=I340,1,0)</x:f>
        <x:v>1</x:v>
      </x:c>
      <x:c r="Q140" s="16" t="n">
        <x:f>IF(J140=J340,1,0)</x:f>
        <x:v>1</x:v>
      </x:c>
      <x:c r="R140" s="16" t="n">
        <x:f>IF(K140=K340,1,0)</x:f>
        <x:v>1</x:v>
      </x:c>
      <x:c r="S140" s="16" t="n">
        <x:f>IF(L140=L340,1,0)</x:f>
        <x:v>1</x:v>
      </x:c>
      <x:c r="T140" s="16" t="n">
        <x:f>IF(SUM(P140:S140)=4,1,0)</x:f>
        <x:v>1</x:v>
      </x:c>
    </x:row>
    <x:row r="141" ht="54" customHeight="1">
      <x:c r="A141" s="16" t="n">
        <x:v>68</x:v>
      </x:c>
      <x:c r="B141" s="2" t="str">
        <x:v>Q967478_P136_2</x:v>
      </x:c>
      <x:c r="C141" s="21" t="str">
        <x:v>Name the genre or genres of Johnny English Reborn.</x:v>
      </x:c>
      <x:c r="D141" s="21" t="str">
        <x:v>Johnny English Reborn belongs to the following genres: comedy film, spy film and action comedy film. || The genres of Johnny English Reborn are comedy film, spy film and action comedy film.</x:v>
      </x:c>
      <x:c r="E141" s="16" t="n">
        <x:v>2</x:v>
      </x:c>
      <x:c r="F141" s="21" t="str">
        <x:v>Johnny English Reborn belongs to the following genres: comedy film, spy film and action comedy film.</x:v>
      </x:c>
      <x:c r="G141" s="2" t="str">
        <x:v>A0</x:v>
      </x:c>
      <x:c r="H141" s="2" t="str">
        <x:v>自动评审01</x:v>
      </x:c>
      <x:c r="I141" s="16" t="n">
        <x:v>2</x:v>
      </x:c>
      <x:c r="J141" s="16" t="n">
        <x:v>2</x:v>
      </x:c>
      <x:c r="K141" s="16" t="n">
        <x:v>5</x:v>
      </x:c>
      <x:c r="L141" s="16" t="n">
        <x:v>0</x:v>
      </x:c>
      <x:c r="M141" s="21" t="str">
        <x:v>Johnny English Reborn 的 comedy film、spy film、action comedy film 均符合参考，表达自然。</x:v>
      </x:c>
      <x:c r="N141" s="2" t="str">
        <x:v>gpt-6.1-sol</x:v>
      </x:c>
      <x:c r="O141" s="2" t="str">
        <x:v>ultra</x:v>
      </x:c>
      <x:c r="P141" s="16" t="n">
        <x:f>IF(I141=I341,1,0)</x:f>
        <x:v>1</x:v>
      </x:c>
      <x:c r="Q141" s="16" t="n">
        <x:f>IF(J141=J341,1,0)</x:f>
        <x:v>1</x:v>
      </x:c>
      <x:c r="R141" s="16" t="n">
        <x:f>IF(K141=K341,1,0)</x:f>
        <x:v>1</x:v>
      </x:c>
      <x:c r="S141" s="16" t="n">
        <x:f>IF(L141=L341,1,0)</x:f>
        <x:v>1</x:v>
      </x:c>
      <x:c r="T141" s="16" t="n">
        <x:f>IF(SUM(P141:S141)=4,1,0)</x:f>
        <x:v>1</x:v>
      </x:c>
    </x:row>
    <x:row r="142" ht="40" customHeight="1">
      <x:c r="A142" s="16" t="n">
        <x:v>69</x:v>
      </x:c>
      <x:c r="B142" s="2" t="str">
        <x:v>Q1535654_P57_1</x:v>
      </x:c>
      <x:c r="C142" s="21" t="str">
        <x:v>Who was the director of Inspector Gadget?</x:v>
      </x:c>
      <x:c r="D142" s="21" t="str">
        <x:v>Inspector Gadget was directed by David Kellogg. || The director or directors of Inspector Gadget are David Kellogg.</x:v>
      </x:c>
      <x:c r="E142" s="16" t="n">
        <x:v>1</x:v>
      </x:c>
      <x:c r="F142" s="21" t="str">
        <x:v>Inspector Gadget was directed by David Kellogg.</x:v>
      </x:c>
      <x:c r="G142" s="2" t="str">
        <x:v>B0</x:v>
      </x:c>
      <x:c r="H142" s="2" t="str">
        <x:v>自动评审01</x:v>
      </x:c>
      <x:c r="I142" s="16" t="n">
        <x:v>2</x:v>
      </x:c>
      <x:c r="J142" s="16" t="n">
        <x:v>2</x:v>
      </x:c>
      <x:c r="K142" s="16" t="n">
        <x:v>5</x:v>
      </x:c>
      <x:c r="L142" s="16" t="n">
        <x:v>0</x:v>
      </x:c>
      <x:c r="M142" s="21" t="str">
        <x:v>David Kellogg 是参考中的导演，电影及执导关系正确完整，句式自然。</x:v>
      </x:c>
      <x:c r="N142" s="2" t="str">
        <x:v>gpt-6.1-sol</x:v>
      </x:c>
      <x:c r="O142" s="2" t="str">
        <x:v>ultra</x:v>
      </x:c>
      <x:c r="P142" s="16" t="n">
        <x:f>IF(I142=I342,1,0)</x:f>
        <x:v>1</x:v>
      </x:c>
      <x:c r="Q142" s="16" t="n">
        <x:f>IF(J142=J342,1,0)</x:f>
        <x:v>1</x:v>
      </x:c>
      <x:c r="R142" s="16" t="n">
        <x:f>IF(K142=K342,1,0)</x:f>
        <x:v>1</x:v>
      </x:c>
      <x:c r="S142" s="16" t="n">
        <x:f>IF(L142=L342,1,0)</x:f>
        <x:v>1</x:v>
      </x:c>
      <x:c r="T142" s="16" t="n">
        <x:f>IF(SUM(P142:S142)=4,1,0)</x:f>
        <x:v>1</x:v>
      </x:c>
    </x:row>
    <x:row r="143" ht="40" customHeight="1">
      <x:c r="A143" s="16" t="n">
        <x:v>69</x:v>
      </x:c>
      <x:c r="B143" s="2" t="str">
        <x:v>Q1535654_P57_1</x:v>
      </x:c>
      <x:c r="C143" s="21" t="str">
        <x:v>Who was the director of Inspector Gadget?</x:v>
      </x:c>
      <x:c r="D143" s="21" t="str">
        <x:v>Inspector Gadget was directed by David Kellogg. || The director or directors of Inspector Gadget are David Kellogg.</x:v>
      </x:c>
      <x:c r="E143" s="16" t="n">
        <x:v>2</x:v>
      </x:c>
      <x:c r="F143" s="21" t="str">
        <x:v>Inspector Gadget was directed by David Kellogg.</x:v>
      </x:c>
      <x:c r="G143" s="2" t="str">
        <x:v>A0</x:v>
      </x:c>
      <x:c r="H143" s="2" t="str">
        <x:v>自动评审01</x:v>
      </x:c>
      <x:c r="I143" s="16" t="n">
        <x:v>2</x:v>
      </x:c>
      <x:c r="J143" s="16" t="n">
        <x:v>2</x:v>
      </x:c>
      <x:c r="K143" s="16" t="n">
        <x:v>5</x:v>
      </x:c>
      <x:c r="L143" s="16" t="n">
        <x:v>0</x:v>
      </x:c>
      <x:c r="M143" s="21" t="str">
        <x:v>正确指出 Inspector Gadget 由 David Kellogg 执导，所问人物齐全，无新增事实。</x:v>
      </x:c>
      <x:c r="N143" s="2" t="str">
        <x:v>gpt-6.1-sol</x:v>
      </x:c>
      <x:c r="O143" s="2" t="str">
        <x:v>ultra</x:v>
      </x:c>
      <x:c r="P143" s="16" t="n">
        <x:f>IF(I143=I343,1,0)</x:f>
        <x:v>1</x:v>
      </x:c>
      <x:c r="Q143" s="16" t="n">
        <x:f>IF(J143=J343,1,0)</x:f>
        <x:v>1</x:v>
      </x:c>
      <x:c r="R143" s="16" t="n">
        <x:f>IF(K143=K343,1,0)</x:f>
        <x:v>1</x:v>
      </x:c>
      <x:c r="S143" s="16" t="n">
        <x:f>IF(L143=L343,1,0)</x:f>
        <x:v>1</x:v>
      </x:c>
      <x:c r="T143" s="16" t="n">
        <x:f>IF(SUM(P143:S143)=4,1,0)</x:f>
        <x:v>1</x:v>
      </x:c>
    </x:row>
    <x:row r="144" ht="40" customHeight="1">
      <x:c r="A144" s="16" t="n">
        <x:v>70</x:v>
      </x:c>
      <x:c r="B144" s="2" t="str">
        <x:v>Q673902_P495_2</x:v>
      </x:c>
      <x:c r="C144" s="21" t="str">
        <x:v>Name the countries of origin of Jeepers Creepers.</x:v>
      </x:c>
      <x:c r="D144" s="21" t="str">
        <x:v>Jeepers Creepers originated in United States and Germany. || The countries of origin of Jeepers Creepers are United States and Germany.</x:v>
      </x:c>
      <x:c r="E144" s="16" t="n">
        <x:v>1</x:v>
      </x:c>
      <x:c r="F144" s="21" t="str">
        <x:v>Jeepers Creepers originated in United States and Germany.</x:v>
      </x:c>
      <x:c r="G144" s="2" t="str">
        <x:v>A0</x:v>
      </x:c>
      <x:c r="H144" s="2" t="str">
        <x:v>自动评审01</x:v>
      </x:c>
      <x:c r="I144" s="16" t="n">
        <x:v>2</x:v>
      </x:c>
      <x:c r="J144" s="16" t="n">
        <x:v>2</x:v>
      </x:c>
      <x:c r="K144" s="16" t="n">
        <x:v>4</x:v>
      </x:c>
      <x:c r="L144" s="16" t="n">
        <x:v>0</x:v>
      </x:c>
      <x:c r="M144" s="21" t="str">
        <x:v>美国与德国两个来源国家完整正确；United States 前缺少 the。</x:v>
      </x:c>
      <x:c r="N144" s="2" t="str">
        <x:v>gpt-6.1-sol</x:v>
      </x:c>
      <x:c r="O144" s="2" t="str">
        <x:v>ultra</x:v>
      </x:c>
      <x:c r="P144" s="16" t="n">
        <x:f>IF(I144=I344,1,0)</x:f>
        <x:v>1</x:v>
      </x:c>
      <x:c r="Q144" s="16" t="n">
        <x:f>IF(J144=J344,1,0)</x:f>
        <x:v>1</x:v>
      </x:c>
      <x:c r="R144" s="16" t="n">
        <x:f>IF(K144=K344,1,0)</x:f>
        <x:v>1</x:v>
      </x:c>
      <x:c r="S144" s="16" t="n">
        <x:f>IF(L144=L344,1,0)</x:f>
        <x:v>1</x:v>
      </x:c>
      <x:c r="T144" s="16" t="n">
        <x:f>IF(SUM(P144:S144)=4,1,0)</x:f>
        <x:v>1</x:v>
      </x:c>
    </x:row>
    <x:row r="145" ht="40" customHeight="1">
      <x:c r="A145" s="16" t="n">
        <x:v>70</x:v>
      </x:c>
      <x:c r="B145" s="2" t="str">
        <x:v>Q673902_P495_2</x:v>
      </x:c>
      <x:c r="C145" s="21" t="str">
        <x:v>Name the countries of origin of Jeepers Creepers.</x:v>
      </x:c>
      <x:c r="D145" s="21" t="str">
        <x:v>Jeepers Creepers originated in United States and Germany. || The countries of origin of Jeepers Creepers are United States and Germany.</x:v>
      </x:c>
      <x:c r="E145" s="16" t="n">
        <x:v>2</x:v>
      </x:c>
      <x:c r="F145" s="21" t="str">
        <x:v>Jeepers Creepers originated in United States and Germany.</x:v>
      </x:c>
      <x:c r="G145" s="2" t="str">
        <x:v>B0</x:v>
      </x:c>
      <x:c r="H145" s="2" t="str">
        <x:v>自动评审01</x:v>
      </x:c>
      <x:c r="I145" s="16" t="n">
        <x:v>2</x:v>
      </x:c>
      <x:c r="J145" s="16" t="n">
        <x:v>2</x:v>
      </x:c>
      <x:c r="K145" s="16" t="n">
        <x:v>4</x:v>
      </x:c>
      <x:c r="L145" s="16" t="n">
        <x:v>0</x:v>
      </x:c>
      <x:c r="M145" s="21" t="str">
        <x:v>Jeepers Creepers 的 United States 和 Germany 均与参考相符；美国国名漏定冠词。</x:v>
      </x:c>
      <x:c r="N145" s="2" t="str">
        <x:v>gpt-6.1-sol</x:v>
      </x:c>
      <x:c r="O145" s="2" t="str">
        <x:v>ultra</x:v>
      </x:c>
      <x:c r="P145" s="16" t="n">
        <x:f>IF(I145=I345,1,0)</x:f>
        <x:v>1</x:v>
      </x:c>
      <x:c r="Q145" s="16" t="n">
        <x:f>IF(J145=J345,1,0)</x:f>
        <x:v>1</x:v>
      </x:c>
      <x:c r="R145" s="16" t="n">
        <x:f>IF(K145=K345,1,0)</x:f>
        <x:v>1</x:v>
      </x:c>
      <x:c r="S145" s="16" t="n">
        <x:f>IF(L145=L345,1,0)</x:f>
        <x:v>1</x:v>
      </x:c>
      <x:c r="T145" s="16" t="n">
        <x:f>IF(SUM(P145:S145)=4,1,0)</x:f>
        <x:v>1</x:v>
      </x:c>
    </x:row>
    <x:row r="146" ht="40" customHeight="1">
      <x:c r="A146" s="16" t="n">
        <x:v>71</x:v>
      </x:c>
      <x:c r="B146" s="2" t="str">
        <x:v>Q13417189_P364_2</x:v>
      </x:c>
      <x:c r="C146" s="21" t="str">
        <x:v>Name the original language or languages of Interstellar.</x:v>
      </x:c>
      <x:c r="D146" s="21" t="str">
        <x:v>The original languages of Interstellar are English. || Interstellar was originally made in English.</x:v>
      </x:c>
      <x:c r="E146" s="16" t="n">
        <x:v>1</x:v>
      </x:c>
      <x:c r="F146" s="21" t="str">
        <x:v>The original languages of Interstellar are English.</x:v>
      </x:c>
      <x:c r="G146" s="2" t="str">
        <x:v>B0</x:v>
      </x:c>
      <x:c r="H146" s="2" t="str">
        <x:v>自动评审01</x:v>
      </x:c>
      <x:c r="I146" s="16" t="n">
        <x:v>2</x:v>
      </x:c>
      <x:c r="J146" s="16" t="n">
        <x:v>2</x:v>
      </x:c>
      <x:c r="K146" s="16" t="n">
        <x:v>4</x:v>
      </x:c>
      <x:c r="L146" s="16" t="n">
        <x:v>0</x:v>
      </x:c>
      <x:c r="M146" s="21" t="str">
        <x:v>Interstellar 的 English 原始语言正确完整；单门语言却用复数 languages are 稍生硬。</x:v>
      </x:c>
      <x:c r="N146" s="2" t="str">
        <x:v>gpt-6.1-sol</x:v>
      </x:c>
      <x:c r="O146" s="2" t="str">
        <x:v>ultra</x:v>
      </x:c>
      <x:c r="P146" s="16" t="n">
        <x:f>IF(I146=I346,1,0)</x:f>
        <x:v>1</x:v>
      </x:c>
      <x:c r="Q146" s="16" t="n">
        <x:f>IF(J146=J346,1,0)</x:f>
        <x:v>1</x:v>
      </x:c>
      <x:c r="R146" s="16" t="n">
        <x:f>IF(K146=K346,1,0)</x:f>
        <x:v>1</x:v>
      </x:c>
      <x:c r="S146" s="16" t="n">
        <x:f>IF(L146=L346,1,0)</x:f>
        <x:v>1</x:v>
      </x:c>
      <x:c r="T146" s="16" t="n">
        <x:f>IF(SUM(P146:S146)=4,1,0)</x:f>
        <x:v>1</x:v>
      </x:c>
    </x:row>
    <x:row r="147" ht="40" customHeight="1">
      <x:c r="A147" s="16" t="n">
        <x:v>71</x:v>
      </x:c>
      <x:c r="B147" s="2" t="str">
        <x:v>Q13417189_P364_2</x:v>
      </x:c>
      <x:c r="C147" s="21" t="str">
        <x:v>Name the original language or languages of Interstellar.</x:v>
      </x:c>
      <x:c r="D147" s="21" t="str">
        <x:v>The original languages of Interstellar are English. || Interstellar was originally made in English.</x:v>
      </x:c>
      <x:c r="E147" s="16" t="n">
        <x:v>2</x:v>
      </x:c>
      <x:c r="F147" s="21" t="str">
        <x:v>The original languages of Interstellar are English.</x:v>
      </x:c>
      <x:c r="G147" s="2" t="str">
        <x:v>A0</x:v>
      </x:c>
      <x:c r="H147" s="2" t="str">
        <x:v>自动评审01</x:v>
      </x:c>
      <x:c r="I147" s="16" t="n">
        <x:v>2</x:v>
      </x:c>
      <x:c r="J147" s="16" t="n">
        <x:v>2</x:v>
      </x:c>
      <x:c r="K147" s="16" t="n">
        <x:v>4</x:v>
      </x:c>
      <x:c r="L147" s="16" t="n">
        <x:v>0</x:v>
      </x:c>
      <x:c r="M147" s="21" t="str">
        <x:v>英语为唯一参考语言，答案覆盖全部；单项语言列表用 languages 略不自然。</x:v>
      </x:c>
      <x:c r="N147" s="2" t="str">
        <x:v>gpt-6.1-sol</x:v>
      </x:c>
      <x:c r="O147" s="2" t="str">
        <x:v>ultra</x:v>
      </x:c>
      <x:c r="P147" s="16" t="n">
        <x:f>IF(I147=I347,1,0)</x:f>
        <x:v>1</x:v>
      </x:c>
      <x:c r="Q147" s="16" t="n">
        <x:f>IF(J147=J347,1,0)</x:f>
        <x:v>1</x:v>
      </x:c>
      <x:c r="R147" s="16" t="n">
        <x:f>IF(K147=K347,1,0)</x:f>
        <x:v>1</x:v>
      </x:c>
      <x:c r="S147" s="16" t="n">
        <x:f>IF(L147=L347,1,0)</x:f>
        <x:v>1</x:v>
      </x:c>
      <x:c r="T147" s="16" t="n">
        <x:f>IF(SUM(P147:S147)=4,1,0)</x:f>
        <x:v>1</x:v>
      </x:c>
    </x:row>
    <x:row r="148" ht="54" customHeight="1">
      <x:c r="A148" s="16" t="n">
        <x:v>72</x:v>
      </x:c>
      <x:c r="B148" s="2" t="str">
        <x:v>Q1137907_P136_1</x:v>
      </x:c>
      <x:c r="C148" s="21" t="str">
        <x:v>Which genres does Sydney White belong to?</x:v>
      </x:c>
      <x:c r="D148" s="21" t="str">
        <x:v>Sydney White belongs to the following genres: romantic comedy and teen film. || The genres of Sydney White are romantic comedy and teen film.</x:v>
      </x:c>
      <x:c r="E148" s="16" t="n">
        <x:v>1</x:v>
      </x:c>
      <x:c r="F148" s="21" t="str">
        <x:v>Sydney White belongs to the following genres: romantic comedy and teen film.</x:v>
      </x:c>
      <x:c r="G148" s="2" t="str">
        <x:v>B0</x:v>
      </x:c>
      <x:c r="H148" s="2" t="str">
        <x:v>自动评审01</x:v>
      </x:c>
      <x:c r="I148" s="16" t="n">
        <x:v>2</x:v>
      </x:c>
      <x:c r="J148" s="16" t="n">
        <x:v>2</x:v>
      </x:c>
      <x:c r="K148" s="16" t="n">
        <x:v>5</x:v>
      </x:c>
      <x:c r="L148" s="16" t="n">
        <x:v>0</x:v>
      </x:c>
      <x:c r="M148" s="21" t="str">
        <x:v>浪漫喜剧与青少年片两种类型正确齐全，未增新类型，列举句自然。</x:v>
      </x:c>
      <x:c r="N148" s="2" t="str">
        <x:v>gpt-6.1-sol</x:v>
      </x:c>
      <x:c r="O148" s="2" t="str">
        <x:v>ultra</x:v>
      </x:c>
      <x:c r="P148" s="16" t="n">
        <x:f>IF(I148=I348,1,0)</x:f>
        <x:v>1</x:v>
      </x:c>
      <x:c r="Q148" s="16" t="n">
        <x:f>IF(J148=J348,1,0)</x:f>
        <x:v>1</x:v>
      </x:c>
      <x:c r="R148" s="16" t="n">
        <x:f>IF(K148=K348,1,0)</x:f>
        <x:v>1</x:v>
      </x:c>
      <x:c r="S148" s="16" t="n">
        <x:f>IF(L148=L348,1,0)</x:f>
        <x:v>1</x:v>
      </x:c>
      <x:c r="T148" s="16" t="n">
        <x:f>IF(SUM(P148:S148)=4,1,0)</x:f>
        <x:v>1</x:v>
      </x:c>
    </x:row>
    <x:row r="149" ht="54" customHeight="1">
      <x:c r="A149" s="16" t="n">
        <x:v>72</x:v>
      </x:c>
      <x:c r="B149" s="2" t="str">
        <x:v>Q1137907_P136_1</x:v>
      </x:c>
      <x:c r="C149" s="21" t="str">
        <x:v>Which genres does Sydney White belong to?</x:v>
      </x:c>
      <x:c r="D149" s="21" t="str">
        <x:v>Sydney White belongs to the following genres: romantic comedy and teen film. || The genres of Sydney White are romantic comedy and teen film.</x:v>
      </x:c>
      <x:c r="E149" s="16" t="n">
        <x:v>2</x:v>
      </x:c>
      <x:c r="F149" s="21" t="str">
        <x:v>Sydney White belongs to the following genres: romantic comedy and teen film.</x:v>
      </x:c>
      <x:c r="G149" s="2" t="str">
        <x:v>A0</x:v>
      </x:c>
      <x:c r="H149" s="2" t="str">
        <x:v>自动评审01</x:v>
      </x:c>
      <x:c r="I149" s="16" t="n">
        <x:v>2</x:v>
      </x:c>
      <x:c r="J149" s="16" t="n">
        <x:v>2</x:v>
      </x:c>
      <x:c r="K149" s="16" t="n">
        <x:v>5</x:v>
      </x:c>
      <x:c r="L149" s="16" t="n">
        <x:v>0</x:v>
      </x:c>
      <x:c r="M149" s="21" t="str">
        <x:v>Sydney White 的 romantic comedy、teen film 均有参考支持，关系完整且表达流畅。</x:v>
      </x:c>
      <x:c r="N149" s="2" t="str">
        <x:v>gpt-6.1-sol</x:v>
      </x:c>
      <x:c r="O149" s="2" t="str">
        <x:v>ultra</x:v>
      </x:c>
      <x:c r="P149" s="16" t="n">
        <x:f>IF(I149=I349,1,0)</x:f>
        <x:v>1</x:v>
      </x:c>
      <x:c r="Q149" s="16" t="n">
        <x:f>IF(J149=J349,1,0)</x:f>
        <x:v>1</x:v>
      </x:c>
      <x:c r="R149" s="16" t="n">
        <x:f>IF(K149=K349,1,0)</x:f>
        <x:v>1</x:v>
      </x:c>
      <x:c r="S149" s="16" t="n">
        <x:f>IF(L149=L349,1,0)</x:f>
        <x:v>1</x:v>
      </x:c>
      <x:c r="T149" s="16" t="n">
        <x:f>IF(SUM(P149:S149)=4,1,0)</x:f>
        <x:v>1</x:v>
      </x:c>
    </x:row>
    <x:row r="150" ht="40" customHeight="1">
      <x:c r="A150" s="16" t="n">
        <x:v>73</x:v>
      </x:c>
      <x:c r="B150" s="2" t="str">
        <x:v>Q1392442_P495_1</x:v>
      </x:c>
      <x:c r="C150" s="21" t="str">
        <x:v>What is the country of origin of Clear and Present Danger?</x:v>
      </x:c>
      <x:c r="D150" s="21" t="str">
        <x:v>Clear and Present Danger originated in United States. || The countries of origin of Clear and Present Danger are United States.</x:v>
      </x:c>
      <x:c r="E150" s="16" t="n">
        <x:v>1</x:v>
      </x:c>
      <x:c r="F150" s="21" t="str">
        <x:v>Clear and Present Danger originated in United States.</x:v>
      </x:c>
      <x:c r="G150" s="2" t="str">
        <x:v>B0</x:v>
      </x:c>
      <x:c r="H150" s="2" t="str">
        <x:v>自动评审01</x:v>
      </x:c>
      <x:c r="I150" s="16" t="n">
        <x:v>2</x:v>
      </x:c>
      <x:c r="J150" s="16" t="n">
        <x:v>2</x:v>
      </x:c>
      <x:c r="K150" s="16" t="n">
        <x:v>4</x:v>
      </x:c>
      <x:c r="L150" s="16" t="n">
        <x:v>0</x:v>
      </x:c>
      <x:c r="M150" s="21" t="str">
        <x:v>Clear and Present Danger 的美国来源正确完整；United States 前缺 the。</x:v>
      </x:c>
      <x:c r="N150" s="2" t="str">
        <x:v>gpt-6.1-sol</x:v>
      </x:c>
      <x:c r="O150" s="2" t="str">
        <x:v>ultra</x:v>
      </x:c>
      <x:c r="P150" s="16" t="n">
        <x:f>IF(I150=I350,1,0)</x:f>
        <x:v>1</x:v>
      </x:c>
      <x:c r="Q150" s="16" t="n">
        <x:f>IF(J150=J350,1,0)</x:f>
        <x:v>1</x:v>
      </x:c>
      <x:c r="R150" s="16" t="n">
        <x:f>IF(K150=K350,1,0)</x:f>
        <x:v>1</x:v>
      </x:c>
      <x:c r="S150" s="16" t="n">
        <x:f>IF(L150=L350,1,0)</x:f>
        <x:v>1</x:v>
      </x:c>
      <x:c r="T150" s="16" t="n">
        <x:f>IF(SUM(P150:S150)=4,1,0)</x:f>
        <x:v>1</x:v>
      </x:c>
    </x:row>
    <x:row r="151" ht="40" customHeight="1">
      <x:c r="A151" s="16" t="n">
        <x:v>73</x:v>
      </x:c>
      <x:c r="B151" s="2" t="str">
        <x:v>Q1392442_P495_1</x:v>
      </x:c>
      <x:c r="C151" s="21" t="str">
        <x:v>What is the country of origin of Clear and Present Danger?</x:v>
      </x:c>
      <x:c r="D151" s="21" t="str">
        <x:v>Clear and Present Danger originated in United States. || The countries of origin of Clear and Present Danger are United States.</x:v>
      </x:c>
      <x:c r="E151" s="16" t="n">
        <x:v>2</x:v>
      </x:c>
      <x:c r="F151" s="21" t="str">
        <x:v>Clear and Present Danger originated in United States.</x:v>
      </x:c>
      <x:c r="G151" s="2" t="str">
        <x:v>A0</x:v>
      </x:c>
      <x:c r="H151" s="2" t="str">
        <x:v>自动评审01</x:v>
      </x:c>
      <x:c r="I151" s="16" t="n">
        <x:v>2</x:v>
      </x:c>
      <x:c r="J151" s="16" t="n">
        <x:v>2</x:v>
      </x:c>
      <x:c r="K151" s="16" t="n">
        <x:v>4</x:v>
      </x:c>
      <x:c r="L151" s="16" t="n">
        <x:v>0</x:v>
      </x:c>
      <x:c r="M151" s="21" t="str">
        <x:v>完整给出美国这一唯一产地，没有额外国家；in United States 漏定冠词但含义明确。</x:v>
      </x:c>
      <x:c r="N151" s="2" t="str">
        <x:v>gpt-6.1-sol</x:v>
      </x:c>
      <x:c r="O151" s="2" t="str">
        <x:v>ultra</x:v>
      </x:c>
      <x:c r="P151" s="16" t="n">
        <x:f>IF(I151=I351,1,0)</x:f>
        <x:v>1</x:v>
      </x:c>
      <x:c r="Q151" s="16" t="n">
        <x:f>IF(J151=J351,1,0)</x:f>
        <x:v>1</x:v>
      </x:c>
      <x:c r="R151" s="16" t="n">
        <x:f>IF(K151=K351,1,0)</x:f>
        <x:v>1</x:v>
      </x:c>
      <x:c r="S151" s="16" t="n">
        <x:f>IF(L151=L351,1,0)</x:f>
        <x:v>1</x:v>
      </x:c>
      <x:c r="T151" s="16" t="n">
        <x:f>IF(SUM(P151:S151)=4,1,0)</x:f>
        <x:v>1</x:v>
      </x:c>
    </x:row>
    <x:row r="152" ht="40" customHeight="1">
      <x:c r="A152" s="16" t="n">
        <x:v>74</x:v>
      </x:c>
      <x:c r="B152" s="2" t="str">
        <x:v>Q426396_P364_2</x:v>
      </x:c>
      <x:c r="C152" s="21" t="str">
        <x:v>Name the original language or languages of Along Came Polly.</x:v>
      </x:c>
      <x:c r="D152" s="21" t="str">
        <x:v>The original languages of Along Came Polly are English. || Along Came Polly was originally made in English.</x:v>
      </x:c>
      <x:c r="E152" s="16" t="n">
        <x:v>1</x:v>
      </x:c>
      <x:c r="F152" s="21" t="str">
        <x:v>The original languages of Along Came Polly are English.</x:v>
      </x:c>
      <x:c r="G152" s="2" t="str">
        <x:v>B0</x:v>
      </x:c>
      <x:c r="H152" s="2" t="str">
        <x:v>自动评审01</x:v>
      </x:c>
      <x:c r="I152" s="16" t="n">
        <x:v>2</x:v>
      </x:c>
      <x:c r="J152" s="16" t="n">
        <x:v>2</x:v>
      </x:c>
      <x:c r="K152" s="16" t="n">
        <x:v>4</x:v>
      </x:c>
      <x:c r="L152" s="16" t="n">
        <x:v>0</x:v>
      </x:c>
      <x:c r="M152" s="21" t="str">
        <x:v>Along Came Polly 的英语原始语言与参考一致，信息完整；仅一项却用 languages are 略生硬。</x:v>
      </x:c>
      <x:c r="N152" s="2" t="str">
        <x:v>gpt-6.1-sol</x:v>
      </x:c>
      <x:c r="O152" s="2" t="str">
        <x:v>ultra</x:v>
      </x:c>
      <x:c r="P152" s="16" t="n">
        <x:f>IF(I152=I352,1,0)</x:f>
        <x:v>1</x:v>
      </x:c>
      <x:c r="Q152" s="16" t="n">
        <x:f>IF(J152=J352,1,0)</x:f>
        <x:v>1</x:v>
      </x:c>
      <x:c r="R152" s="16" t="n">
        <x:f>IF(K152=K352,1,0)</x:f>
        <x:v>1</x:v>
      </x:c>
      <x:c r="S152" s="16" t="n">
        <x:f>IF(L152=L352,1,0)</x:f>
        <x:v>1</x:v>
      </x:c>
      <x:c r="T152" s="16" t="n">
        <x:f>IF(SUM(P152:S152)=4,1,0)</x:f>
        <x:v>1</x:v>
      </x:c>
    </x:row>
    <x:row r="153" ht="40" customHeight="1">
      <x:c r="A153" s="16" t="n">
        <x:v>74</x:v>
      </x:c>
      <x:c r="B153" s="2" t="str">
        <x:v>Q426396_P364_2</x:v>
      </x:c>
      <x:c r="C153" s="21" t="str">
        <x:v>Name the original language or languages of Along Came Polly.</x:v>
      </x:c>
      <x:c r="D153" s="21" t="str">
        <x:v>The original languages of Along Came Polly are English. || Along Came Polly was originally made in English.</x:v>
      </x:c>
      <x:c r="E153" s="16" t="n">
        <x:v>2</x:v>
      </x:c>
      <x:c r="F153" s="21" t="str">
        <x:v>The original languages of Along Came Polly are English.</x:v>
      </x:c>
      <x:c r="G153" s="2" t="str">
        <x:v>A0</x:v>
      </x:c>
      <x:c r="H153" s="2" t="str">
        <x:v>自动评审01</x:v>
      </x:c>
      <x:c r="I153" s="16" t="n">
        <x:v>2</x:v>
      </x:c>
      <x:c r="J153" s="16" t="n">
        <x:v>2</x:v>
      </x:c>
      <x:c r="K153" s="16" t="n">
        <x:v>4</x:v>
      </x:c>
      <x:c r="L153" s="16" t="n">
        <x:v>0</x:v>
      </x:c>
      <x:c r="M153" s="21" t="str">
        <x:v>English 覆盖全部语言事实，无新增内容；单项语言用复数 languages 稍不自然。</x:v>
      </x:c>
      <x:c r="N153" s="2" t="str">
        <x:v>gpt-6.1-sol</x:v>
      </x:c>
      <x:c r="O153" s="2" t="str">
        <x:v>ultra</x:v>
      </x:c>
      <x:c r="P153" s="16" t="n">
        <x:f>IF(I153=I353,1,0)</x:f>
        <x:v>1</x:v>
      </x:c>
      <x:c r="Q153" s="16" t="n">
        <x:f>IF(J153=J353,1,0)</x:f>
        <x:v>1</x:v>
      </x:c>
      <x:c r="R153" s="16" t="n">
        <x:f>IF(K153=K353,1,0)</x:f>
        <x:v>1</x:v>
      </x:c>
      <x:c r="S153" s="16" t="n">
        <x:f>IF(L153=L353,1,0)</x:f>
        <x:v>1</x:v>
      </x:c>
      <x:c r="T153" s="16" t="n">
        <x:f>IF(SUM(P153:S153)=4,1,0)</x:f>
        <x:v>1</x:v>
      </x:c>
    </x:row>
    <x:row r="154" ht="40" customHeight="1">
      <x:c r="A154" s="16" t="n">
        <x:v>75</x:v>
      </x:c>
      <x:c r="B154" s="2" t="str">
        <x:v>Q165780_P57_1</x:v>
      </x:c>
      <x:c r="C154" s="21" t="str">
        <x:v>Who was the director of Martin Luther, Heretic?</x:v>
      </x:c>
      <x:c r="D154" s="21" t="str">
        <x:v>Martin Luther, Heretic was directed by Norman Stone. || The director or directors of Martin Luther, Heretic are Norman Stone.</x:v>
      </x:c>
      <x:c r="E154" s="16" t="n">
        <x:v>1</x:v>
      </x:c>
      <x:c r="F154" s="21" t="str">
        <x:v>Martin Luther, Heretic was directed by Norman Stone.</x:v>
      </x:c>
      <x:c r="G154" s="2" t="str">
        <x:v>A0</x:v>
      </x:c>
      <x:c r="H154" s="2" t="str">
        <x:v>自动评审01</x:v>
      </x:c>
      <x:c r="I154" s="16" t="n">
        <x:v>2</x:v>
      </x:c>
      <x:c r="J154" s="16" t="n">
        <x:v>2</x:v>
      </x:c>
      <x:c r="K154" s="16" t="n">
        <x:v>5</x:v>
      </x:c>
      <x:c r="L154" s="16" t="n">
        <x:v>0</x:v>
      </x:c>
      <x:c r="M154" s="21" t="str">
        <x:v>Norman Stone 与参考导演一致，电影 Martin Luther, Heretic 的执导关系完整正确，表达清楚。</x:v>
      </x:c>
      <x:c r="N154" s="2" t="str">
        <x:v>gpt-6.1-sol</x:v>
      </x:c>
      <x:c r="O154" s="2" t="str">
        <x:v>ultra</x:v>
      </x:c>
      <x:c r="P154" s="16" t="n">
        <x:f>IF(I154=I354,1,0)</x:f>
        <x:v>1</x:v>
      </x:c>
      <x:c r="Q154" s="16" t="n">
        <x:f>IF(J154=J354,1,0)</x:f>
        <x:v>1</x:v>
      </x:c>
      <x:c r="R154" s="16" t="n">
        <x:f>IF(K154=K354,1,0)</x:f>
        <x:v>1</x:v>
      </x:c>
      <x:c r="S154" s="16" t="n">
        <x:f>IF(L154=L354,1,0)</x:f>
        <x:v>1</x:v>
      </x:c>
      <x:c r="T154" s="16" t="n">
        <x:f>IF(SUM(P154:S154)=4,1,0)</x:f>
        <x:v>1</x:v>
      </x:c>
    </x:row>
    <x:row r="155" ht="40" customHeight="1">
      <x:c r="A155" s="16" t="n">
        <x:v>75</x:v>
      </x:c>
      <x:c r="B155" s="2" t="str">
        <x:v>Q165780_P57_1</x:v>
      </x:c>
      <x:c r="C155" s="21" t="str">
        <x:v>Who was the director of Martin Luther, Heretic?</x:v>
      </x:c>
      <x:c r="D155" s="21" t="str">
        <x:v>Martin Luther, Heretic was directed by Norman Stone. || The director or directors of Martin Luther, Heretic are Norman Stone.</x:v>
      </x:c>
      <x:c r="E155" s="16" t="n">
        <x:v>2</x:v>
      </x:c>
      <x:c r="F155" s="21" t="str">
        <x:v>Martin Luther, Heretic was directed by Norman Stone.</x:v>
      </x:c>
      <x:c r="G155" s="2" t="str">
        <x:v>B0</x:v>
      </x:c>
      <x:c r="H155" s="2" t="str">
        <x:v>自动评审01</x:v>
      </x:c>
      <x:c r="I155" s="16" t="n">
        <x:v>2</x:v>
      </x:c>
      <x:c r="J155" s="16" t="n">
        <x:v>2</x:v>
      </x:c>
      <x:c r="K155" s="16" t="n">
        <x:v>5</x:v>
      </x:c>
      <x:c r="L155" s="16" t="n">
        <x:v>0</x:v>
      </x:c>
      <x:c r="M155" s="21" t="str">
        <x:v>正确回答 Norman Stone 执导该片，片名中的逗号属于名称，整体句子流畅。</x:v>
      </x:c>
      <x:c r="N155" s="2" t="str">
        <x:v>gpt-6.1-sol</x:v>
      </x:c>
      <x:c r="O155" s="2" t="str">
        <x:v>ultra</x:v>
      </x:c>
      <x:c r="P155" s="16" t="n">
        <x:f>IF(I155=I355,1,0)</x:f>
        <x:v>1</x:v>
      </x:c>
      <x:c r="Q155" s="16" t="n">
        <x:f>IF(J155=J355,1,0)</x:f>
        <x:v>1</x:v>
      </x:c>
      <x:c r="R155" s="16" t="n">
        <x:f>IF(K155=K355,1,0)</x:f>
        <x:v>1</x:v>
      </x:c>
      <x:c r="S155" s="16" t="n">
        <x:f>IF(L155=L355,1,0)</x:f>
        <x:v>1</x:v>
      </x:c>
      <x:c r="T155" s="16" t="n">
        <x:f>IF(SUM(P155:S155)=4,1,0)</x:f>
        <x:v>1</x:v>
      </x:c>
    </x:row>
    <x:row r="156" ht="40" customHeight="1">
      <x:c r="A156" s="16" t="n">
        <x:v>76</x:v>
      </x:c>
      <x:c r="B156" s="2" t="str">
        <x:v>Q645574_P136_2</x:v>
      </x:c>
      <x:c r="C156" s="21" t="str">
        <x:v>Name the genre or genres of The Misfits.</x:v>
      </x:c>
      <x:c r="D156" s="21" t="str">
        <x:v>The Misfits belongs to the following genres: drama film and romance film. || The genres of The Misfits are drama film and romance film.</x:v>
      </x:c>
      <x:c r="E156" s="16" t="n">
        <x:v>1</x:v>
      </x:c>
      <x:c r="F156" s="21" t="str">
        <x:v>The Misfits belongs to the following genres: drama film and romance film.</x:v>
      </x:c>
      <x:c r="G156" s="2" t="str">
        <x:v>B0</x:v>
      </x:c>
      <x:c r="H156" s="2" t="str">
        <x:v>自动评审01</x:v>
      </x:c>
      <x:c r="I156" s="16" t="n">
        <x:v>2</x:v>
      </x:c>
      <x:c r="J156" s="16" t="n">
        <x:v>2</x:v>
      </x:c>
      <x:c r="K156" s="16" t="n">
        <x:v>5</x:v>
      </x:c>
      <x:c r="L156" s="16" t="n">
        <x:v>0</x:v>
      </x:c>
      <x:c r="M156" s="21" t="str">
        <x:v>The Misfits 的剧情片与爱情片两种类型全部符合参考；标题作整体单数，句法自然。</x:v>
      </x:c>
      <x:c r="N156" s="2" t="str">
        <x:v>gpt-6.1-sol</x:v>
      </x:c>
      <x:c r="O156" s="2" t="str">
        <x:v>ultra</x:v>
      </x:c>
      <x:c r="P156" s="16" t="n">
        <x:f>IF(I156=I356,1,0)</x:f>
        <x:v>1</x:v>
      </x:c>
      <x:c r="Q156" s="16" t="n">
        <x:f>IF(J156=J356,1,0)</x:f>
        <x:v>1</x:v>
      </x:c>
      <x:c r="R156" s="16" t="n">
        <x:f>IF(K156=K356,1,0)</x:f>
        <x:v>1</x:v>
      </x:c>
      <x:c r="S156" s="16" t="n">
        <x:f>IF(L156=L356,1,0)</x:f>
        <x:v>1</x:v>
      </x:c>
      <x:c r="T156" s="16" t="n">
        <x:f>IF(SUM(P156:S156)=4,1,0)</x:f>
        <x:v>1</x:v>
      </x:c>
    </x:row>
    <x:row r="157" ht="40" customHeight="1">
      <x:c r="A157" s="16" t="n">
        <x:v>76</x:v>
      </x:c>
      <x:c r="B157" s="2" t="str">
        <x:v>Q645574_P136_2</x:v>
      </x:c>
      <x:c r="C157" s="21" t="str">
        <x:v>Name the genre or genres of The Misfits.</x:v>
      </x:c>
      <x:c r="D157" s="21" t="str">
        <x:v>The Misfits belongs to the following genres: drama film and romance film. || The genres of The Misfits are drama film and romance film.</x:v>
      </x:c>
      <x:c r="E157" s="16" t="n">
        <x:v>2</x:v>
      </x:c>
      <x:c r="F157" s="21" t="str">
        <x:v>The Misfits belongs to the following genres: drama film and romance film.</x:v>
      </x:c>
      <x:c r="G157" s="2" t="str">
        <x:v>A0</x:v>
      </x:c>
      <x:c r="H157" s="2" t="str">
        <x:v>自动评审01</x:v>
      </x:c>
      <x:c r="I157" s="16" t="n">
        <x:v>2</x:v>
      </x:c>
      <x:c r="J157" s="16" t="n">
        <x:v>2</x:v>
      </x:c>
      <x:c r="K157" s="16" t="n">
        <x:v>5</x:v>
      </x:c>
      <x:c r="L157" s="16" t="n">
        <x:v>0</x:v>
      </x:c>
      <x:c r="M157" s="21" t="str">
        <x:v>drama film 和 romance film 正确完整，无额外类型或关系，列举表达流畅。</x:v>
      </x:c>
      <x:c r="N157" s="2" t="str">
        <x:v>gpt-6.1-sol</x:v>
      </x:c>
      <x:c r="O157" s="2" t="str">
        <x:v>ultra</x:v>
      </x:c>
      <x:c r="P157" s="16" t="n">
        <x:f>IF(I157=I357,1,0)</x:f>
        <x:v>1</x:v>
      </x:c>
      <x:c r="Q157" s="16" t="n">
        <x:f>IF(J157=J357,1,0)</x:f>
        <x:v>1</x:v>
      </x:c>
      <x:c r="R157" s="16" t="n">
        <x:f>IF(K157=K357,1,0)</x:f>
        <x:v>1</x:v>
      </x:c>
      <x:c r="S157" s="16" t="n">
        <x:f>IF(L157=L357,1,0)</x:f>
        <x:v>1</x:v>
      </x:c>
      <x:c r="T157" s="16" t="n">
        <x:f>IF(SUM(P157:S157)=4,1,0)</x:f>
        <x:v>1</x:v>
      </x:c>
    </x:row>
    <x:row r="158" ht="40" customHeight="1">
      <x:c r="A158" s="16" t="n">
        <x:v>77</x:v>
      </x:c>
      <x:c r="B158" s="2" t="str">
        <x:v>Q47654_P364_0</x:v>
      </x:c>
      <x:c r="C158" s="21" t="str">
        <x:v>What is the original language of Saturday Night Fever?</x:v>
      </x:c>
      <x:c r="D158" s="21" t="str">
        <x:v>The original languages of Saturday Night Fever are English. || Saturday Night Fever was originally made in English.</x:v>
      </x:c>
      <x:c r="E158" s="16" t="n">
        <x:v>1</x:v>
      </x:c>
      <x:c r="F158" s="21" t="str">
        <x:v>The original languages of Saturday Night Fever are English.</x:v>
      </x:c>
      <x:c r="G158" s="2" t="str">
        <x:v>B0</x:v>
      </x:c>
      <x:c r="H158" s="2" t="str">
        <x:v>自动评审01</x:v>
      </x:c>
      <x:c r="I158" s="16" t="n">
        <x:v>2</x:v>
      </x:c>
      <x:c r="J158" s="16" t="n">
        <x:v>2</x:v>
      </x:c>
      <x:c r="K158" s="16" t="n">
        <x:v>4</x:v>
      </x:c>
      <x:c r="L158" s="16" t="n">
        <x:v>0</x:v>
      </x:c>
      <x:c r="M158" s="21" t="str">
        <x:v>Saturday Night Fever 的 English 原始语言正确齐全；单一语言用复数 languages are 稍别扭。</x:v>
      </x:c>
      <x:c r="N158" s="2" t="str">
        <x:v>gpt-6.1-sol</x:v>
      </x:c>
      <x:c r="O158" s="2" t="str">
        <x:v>ultra</x:v>
      </x:c>
      <x:c r="P158" s="16" t="n">
        <x:f>IF(I158=I358,1,0)</x:f>
        <x:v>1</x:v>
      </x:c>
      <x:c r="Q158" s="16" t="n">
        <x:f>IF(J158=J358,1,0)</x:f>
        <x:v>1</x:v>
      </x:c>
      <x:c r="R158" s="16" t="n">
        <x:f>IF(K158=K358,1,0)</x:f>
        <x:v>1</x:v>
      </x:c>
      <x:c r="S158" s="16" t="n">
        <x:f>IF(L158=L358,1,0)</x:f>
        <x:v>1</x:v>
      </x:c>
      <x:c r="T158" s="16" t="n">
        <x:f>IF(SUM(P158:S158)=4,1,0)</x:f>
        <x:v>1</x:v>
      </x:c>
    </x:row>
    <x:row r="159" ht="40" customHeight="1">
      <x:c r="A159" s="16" t="n">
        <x:v>77</x:v>
      </x:c>
      <x:c r="B159" s="2" t="str">
        <x:v>Q47654_P364_0</x:v>
      </x:c>
      <x:c r="C159" s="21" t="str">
        <x:v>What is the original language of Saturday Night Fever?</x:v>
      </x:c>
      <x:c r="D159" s="21" t="str">
        <x:v>The original languages of Saturday Night Fever are English. || Saturday Night Fever was originally made in English.</x:v>
      </x:c>
      <x:c r="E159" s="16" t="n">
        <x:v>2</x:v>
      </x:c>
      <x:c r="F159" s="21" t="str">
        <x:v>The original languages of Saturday Night Fever are English.</x:v>
      </x:c>
      <x:c r="G159" s="2" t="str">
        <x:v>A0</x:v>
      </x:c>
      <x:c r="H159" s="2" t="str">
        <x:v>自动评审01</x:v>
      </x:c>
      <x:c r="I159" s="16" t="n">
        <x:v>2</x:v>
      </x:c>
      <x:c r="J159" s="16" t="n">
        <x:v>2</x:v>
      </x:c>
      <x:c r="K159" s="16" t="n">
        <x:v>4</x:v>
      </x:c>
      <x:c r="L159" s="16" t="n">
        <x:v>0</x:v>
      </x:c>
      <x:c r="M159" s="21" t="str">
        <x:v>英语完整对应参考语言信息，没有事实扩展；单项列表的 languages 复数略不自然。</x:v>
      </x:c>
      <x:c r="N159" s="2" t="str">
        <x:v>gpt-6.1-sol</x:v>
      </x:c>
      <x:c r="O159" s="2" t="str">
        <x:v>ultra</x:v>
      </x:c>
      <x:c r="P159" s="16" t="n">
        <x:f>IF(I159=I359,1,0)</x:f>
        <x:v>1</x:v>
      </x:c>
      <x:c r="Q159" s="16" t="n">
        <x:f>IF(J159=J359,1,0)</x:f>
        <x:v>1</x:v>
      </x:c>
      <x:c r="R159" s="16" t="n">
        <x:f>IF(K159=K359,1,0)</x:f>
        <x:v>1</x:v>
      </x:c>
      <x:c r="S159" s="16" t="n">
        <x:f>IF(L159=L359,1,0)</x:f>
        <x:v>1</x:v>
      </x:c>
      <x:c r="T159" s="16" t="n">
        <x:f>IF(SUM(P159:S159)=4,1,0)</x:f>
        <x:v>1</x:v>
      </x:c>
    </x:row>
    <x:row r="160" ht="54" customHeight="1">
      <x:c r="A160" s="16" t="n">
        <x:v>78</x:v>
      </x:c>
      <x:c r="B160" s="2" t="str">
        <x:v>Q1151947_P57_2</x:v>
      </x:c>
      <x:c r="C160" s="21" t="str">
        <x:v>Name the director or directors of The Life Aquatic with Steve Zissou.</x:v>
      </x:c>
      <x:c r="D160" s="21" t="str">
        <x:v>The Life Aquatic with Steve Zissou was directed by Wes Anderson. || The director or directors of The Life Aquatic with Steve Zissou are Wes Anderson.</x:v>
      </x:c>
      <x:c r="E160" s="16" t="n">
        <x:v>1</x:v>
      </x:c>
      <x:c r="F160" s="21" t="str">
        <x:v>The Life Aquatic with Steve Zissou was directed by Wes Anderson.</x:v>
      </x:c>
      <x:c r="G160" s="2" t="str">
        <x:v>A0</x:v>
      </x:c>
      <x:c r="H160" s="2" t="str">
        <x:v>自动评审01</x:v>
      </x:c>
      <x:c r="I160" s="16" t="n">
        <x:v>2</x:v>
      </x:c>
      <x:c r="J160" s="16" t="n">
        <x:v>2</x:v>
      </x:c>
      <x:c r="K160" s="16" t="n">
        <x:v>5</x:v>
      </x:c>
      <x:c r="L160" s="16" t="n">
        <x:v>0</x:v>
      </x:c>
      <x:c r="M160" s="21" t="str">
        <x:v>完整正确给出 The Life Aquatic with Steve Zissou 的导演 Wes Anderson，句子自然。</x:v>
      </x:c>
      <x:c r="N160" s="2" t="str">
        <x:v>gpt-6.1-sol</x:v>
      </x:c>
      <x:c r="O160" s="2" t="str">
        <x:v>ultra</x:v>
      </x:c>
      <x:c r="P160" s="16" t="n">
        <x:f>IF(I160=I360,1,0)</x:f>
        <x:v>1</x:v>
      </x:c>
      <x:c r="Q160" s="16" t="n">
        <x:f>IF(J160=J360,1,0)</x:f>
        <x:v>1</x:v>
      </x:c>
      <x:c r="R160" s="16" t="n">
        <x:f>IF(K160=K360,1,0)</x:f>
        <x:v>1</x:v>
      </x:c>
      <x:c r="S160" s="16" t="n">
        <x:f>IF(L160=L360,1,0)</x:f>
        <x:v>1</x:v>
      </x:c>
      <x:c r="T160" s="16" t="n">
        <x:f>IF(SUM(P160:S160)=4,1,0)</x:f>
        <x:v>1</x:v>
      </x:c>
    </x:row>
    <x:row r="161" ht="54" customHeight="1">
      <x:c r="A161" s="16" t="n">
        <x:v>78</x:v>
      </x:c>
      <x:c r="B161" s="2" t="str">
        <x:v>Q1151947_P57_2</x:v>
      </x:c>
      <x:c r="C161" s="21" t="str">
        <x:v>Name the director or directors of The Life Aquatic with Steve Zissou.</x:v>
      </x:c>
      <x:c r="D161" s="21" t="str">
        <x:v>The Life Aquatic with Steve Zissou was directed by Wes Anderson. || The director or directors of The Life Aquatic with Steve Zissou are Wes Anderson.</x:v>
      </x:c>
      <x:c r="E161" s="16" t="n">
        <x:v>2</x:v>
      </x:c>
      <x:c r="F161" s="21" t="str">
        <x:v>The Life Aquatic with Steve Zissou was directed by Wes Anderson.</x:v>
      </x:c>
      <x:c r="G161" s="2" t="str">
        <x:v>B0</x:v>
      </x:c>
      <x:c r="H161" s="2" t="str">
        <x:v>自动评审01</x:v>
      </x:c>
      <x:c r="I161" s="16" t="n">
        <x:v>2</x:v>
      </x:c>
      <x:c r="J161" s="16" t="n">
        <x:v>2</x:v>
      </x:c>
      <x:c r="K161" s="16" t="n">
        <x:v>5</x:v>
      </x:c>
      <x:c r="L161" s="16" t="n">
        <x:v>0</x:v>
      </x:c>
      <x:c r="M161" s="21" t="str">
        <x:v>Wes Anderson 与参考人物相符，电影和导演关系齐全，未增其他事实，表达清楚。</x:v>
      </x:c>
      <x:c r="N161" s="2" t="str">
        <x:v>gpt-6.1-sol</x:v>
      </x:c>
      <x:c r="O161" s="2" t="str">
        <x:v>ultra</x:v>
      </x:c>
      <x:c r="P161" s="16" t="n">
        <x:f>IF(I161=I361,1,0)</x:f>
        <x:v>1</x:v>
      </x:c>
      <x:c r="Q161" s="16" t="n">
        <x:f>IF(J161=J361,1,0)</x:f>
        <x:v>1</x:v>
      </x:c>
      <x:c r="R161" s="16" t="n">
        <x:f>IF(K161=K361,1,0)</x:f>
        <x:v>1</x:v>
      </x:c>
      <x:c r="S161" s="16" t="n">
        <x:f>IF(L161=L361,1,0)</x:f>
        <x:v>1</x:v>
      </x:c>
      <x:c r="T161" s="16" t="n">
        <x:f>IF(SUM(P161:S161)=4,1,0)</x:f>
        <x:v>1</x:v>
      </x:c>
    </x:row>
    <x:row r="162" ht="40" customHeight="1">
      <x:c r="A162" s="16" t="n">
        <x:v>79</x:v>
      </x:c>
      <x:c r="B162" s="2" t="str">
        <x:v>Q491964_P495_1</x:v>
      </x:c>
      <x:c r="C162" s="21" t="str">
        <x:v>What is the country of origin of Marrying the Mafia IV?</x:v>
      </x:c>
      <x:c r="D162" s="21" t="str">
        <x:v>Marrying the Mafia IV originated in South Korea. || The countries of origin of Marrying the Mafia IV are South Korea.</x:v>
      </x:c>
      <x:c r="E162" s="16" t="n">
        <x:v>1</x:v>
      </x:c>
      <x:c r="F162" s="21" t="str">
        <x:v>Marrying the Mafia IV originated in South Korea.</x:v>
      </x:c>
      <x:c r="G162" s="2" t="str">
        <x:v>B0</x:v>
      </x:c>
      <x:c r="H162" s="2" t="str">
        <x:v>自动评审01</x:v>
      </x:c>
      <x:c r="I162" s="16" t="n">
        <x:v>2</x:v>
      </x:c>
      <x:c r="J162" s="16" t="n">
        <x:v>2</x:v>
      </x:c>
      <x:c r="K162" s="16" t="n">
        <x:v>5</x:v>
      </x:c>
      <x:c r="L162" s="16" t="n">
        <x:v>0</x:v>
      </x:c>
      <x:c r="M162" s="21" t="str">
        <x:v>Marrying the Mafia IV 的 South Korea 来源正确完整，国名和介词用法自然。</x:v>
      </x:c>
      <x:c r="N162" s="2" t="str">
        <x:v>gpt-6.1-sol</x:v>
      </x:c>
      <x:c r="O162" s="2" t="str">
        <x:v>ultra</x:v>
      </x:c>
      <x:c r="P162" s="16" t="n">
        <x:f>IF(I162=I362,1,0)</x:f>
        <x:v>1</x:v>
      </x:c>
      <x:c r="Q162" s="16" t="n">
        <x:f>IF(J162=J362,1,0)</x:f>
        <x:v>1</x:v>
      </x:c>
      <x:c r="R162" s="16" t="n">
        <x:f>IF(K162=K362,1,0)</x:f>
        <x:v>1</x:v>
      </x:c>
      <x:c r="S162" s="16" t="n">
        <x:f>IF(L162=L362,1,0)</x:f>
        <x:v>1</x:v>
      </x:c>
      <x:c r="T162" s="16" t="n">
        <x:f>IF(SUM(P162:S162)=4,1,0)</x:f>
        <x:v>1</x:v>
      </x:c>
    </x:row>
    <x:row r="163" ht="40" customHeight="1">
      <x:c r="A163" s="16" t="n">
        <x:v>79</x:v>
      </x:c>
      <x:c r="B163" s="2" t="str">
        <x:v>Q491964_P495_1</x:v>
      </x:c>
      <x:c r="C163" s="21" t="str">
        <x:v>What is the country of origin of Marrying the Mafia IV?</x:v>
      </x:c>
      <x:c r="D163" s="21" t="str">
        <x:v>Marrying the Mafia IV originated in South Korea. || The countries of origin of Marrying the Mafia IV are South Korea.</x:v>
      </x:c>
      <x:c r="E163" s="16" t="n">
        <x:v>2</x:v>
      </x:c>
      <x:c r="F163" s="21" t="str">
        <x:v>Marrying the Mafia IV originated in South Korea.</x:v>
      </x:c>
      <x:c r="G163" s="2" t="str">
        <x:v>A0</x:v>
      </x:c>
      <x:c r="H163" s="2" t="str">
        <x:v>自动评审01</x:v>
      </x:c>
      <x:c r="I163" s="16" t="n">
        <x:v>2</x:v>
      </x:c>
      <x:c r="J163" s="16" t="n">
        <x:v>2</x:v>
      </x:c>
      <x:c r="K163" s="16" t="n">
        <x:v>5</x:v>
      </x:c>
      <x:c r="L163" s="16" t="n">
        <x:v>0</x:v>
      </x:c>
      <x:c r="M163" s="21" t="str">
        <x:v>韩国这一唯一产地与参考一致，无额外国家，英语句子完整流畅。</x:v>
      </x:c>
      <x:c r="N163" s="2" t="str">
        <x:v>gpt-6.1-sol</x:v>
      </x:c>
      <x:c r="O163" s="2" t="str">
        <x:v>ultra</x:v>
      </x:c>
      <x:c r="P163" s="16" t="n">
        <x:f>IF(I163=I363,1,0)</x:f>
        <x:v>1</x:v>
      </x:c>
      <x:c r="Q163" s="16" t="n">
        <x:f>IF(J163=J363,1,0)</x:f>
        <x:v>1</x:v>
      </x:c>
      <x:c r="R163" s="16" t="n">
        <x:f>IF(K163=K363,1,0)</x:f>
        <x:v>1</x:v>
      </x:c>
      <x:c r="S163" s="16" t="n">
        <x:f>IF(L163=L363,1,0)</x:f>
        <x:v>1</x:v>
      </x:c>
      <x:c r="T163" s="16" t="n">
        <x:f>IF(SUM(P163:S163)=4,1,0)</x:f>
        <x:v>1</x:v>
      </x:c>
    </x:row>
    <x:row r="164" ht="40" customHeight="1">
      <x:c r="A164" s="16" t="n">
        <x:v>80</x:v>
      </x:c>
      <x:c r="B164" s="2" t="str">
        <x:v>Q849169_P136_2</x:v>
      </x:c>
      <x:c r="C164" s="21" t="str">
        <x:v>Name the genre or genres of Love in the Time of Cholera.</x:v>
      </x:c>
      <x:c r="D164" s="21" t="str">
        <x:v>Love in the Time of Cholera belongs to the following genres: drama film. || The genres of Love in the Time of Cholera are drama film.</x:v>
      </x:c>
      <x:c r="E164" s="16" t="n">
        <x:v>1</x:v>
      </x:c>
      <x:c r="F164" s="21" t="str">
        <x:v>Love in the Time of Cholera belongs to the following genres: drama film.</x:v>
      </x:c>
      <x:c r="G164" s="2" t="str">
        <x:v>A0</x:v>
      </x:c>
      <x:c r="H164" s="2" t="str">
        <x:v>自动评审01</x:v>
      </x:c>
      <x:c r="I164" s="16" t="n">
        <x:v>2</x:v>
      </x:c>
      <x:c r="J164" s="16" t="n">
        <x:v>2</x:v>
      </x:c>
      <x:c r="K164" s="16" t="n">
        <x:v>4</x:v>
      </x:c>
      <x:c r="L164" s="16" t="n">
        <x:v>0</x:v>
      </x:c>
      <x:c r="M164" s="21" t="str">
        <x:v>剧情片这一唯一类型正确且齐全；只有一个类型却用 following genres，措辞略不自然。</x:v>
      </x:c>
      <x:c r="N164" s="2" t="str">
        <x:v>gpt-6.1-sol</x:v>
      </x:c>
      <x:c r="O164" s="2" t="str">
        <x:v>ultra</x:v>
      </x:c>
      <x:c r="P164" s="16" t="n">
        <x:f>IF(I164=I364,1,0)</x:f>
        <x:v>1</x:v>
      </x:c>
      <x:c r="Q164" s="16" t="n">
        <x:f>IF(J164=J364,1,0)</x:f>
        <x:v>1</x:v>
      </x:c>
      <x:c r="R164" s="16" t="n">
        <x:f>IF(K164=K364,1,0)</x:f>
        <x:v>1</x:v>
      </x:c>
      <x:c r="S164" s="16" t="n">
        <x:f>IF(L164=L364,1,0)</x:f>
        <x:v>1</x:v>
      </x:c>
      <x:c r="T164" s="16" t="n">
        <x:f>IF(SUM(P164:S164)=4,1,0)</x:f>
        <x:v>1</x:v>
      </x:c>
    </x:row>
    <x:row r="165" ht="40" customHeight="1">
      <x:c r="A165" s="16" t="n">
        <x:v>80</x:v>
      </x:c>
      <x:c r="B165" s="2" t="str">
        <x:v>Q849169_P136_2</x:v>
      </x:c>
      <x:c r="C165" s="21" t="str">
        <x:v>Name the genre or genres of Love in the Time of Cholera.</x:v>
      </x:c>
      <x:c r="D165" s="21" t="str">
        <x:v>Love in the Time of Cholera belongs to the following genres: drama film. || The genres of Love in the Time of Cholera are drama film.</x:v>
      </x:c>
      <x:c r="E165" s="16" t="n">
        <x:v>2</x:v>
      </x:c>
      <x:c r="F165" s="21" t="str">
        <x:v>Love in the Time of Cholera belongs to the following genres: drama film.</x:v>
      </x:c>
      <x:c r="G165" s="2" t="str">
        <x:v>B0</x:v>
      </x:c>
      <x:c r="H165" s="2" t="str">
        <x:v>自动评审01</x:v>
      </x:c>
      <x:c r="I165" s="16" t="n">
        <x:v>2</x:v>
      </x:c>
      <x:c r="J165" s="16" t="n">
        <x:v>2</x:v>
      </x:c>
      <x:c r="K165" s="16" t="n">
        <x:v>4</x:v>
      </x:c>
      <x:c r="L165" s="16" t="n">
        <x:v>0</x:v>
      </x:c>
      <x:c r="M165" s="21" t="str">
        <x:v>Love in the Time of Cholera 的 drama film 类型完整符合参考；单项列表使用复数 genres 稍生硬。</x:v>
      </x:c>
      <x:c r="N165" s="2" t="str">
        <x:v>gpt-6.1-sol</x:v>
      </x:c>
      <x:c r="O165" s="2" t="str">
        <x:v>ultra</x:v>
      </x:c>
      <x:c r="P165" s="16" t="n">
        <x:f>IF(I165=I365,1,0)</x:f>
        <x:v>1</x:v>
      </x:c>
      <x:c r="Q165" s="16" t="n">
        <x:f>IF(J165=J365,1,0)</x:f>
        <x:v>1</x:v>
      </x:c>
      <x:c r="R165" s="16" t="n">
        <x:f>IF(K165=K365,1,0)</x:f>
        <x:v>1</x:v>
      </x:c>
      <x:c r="S165" s="16" t="n">
        <x:f>IF(L165=L365,1,0)</x:f>
        <x:v>1</x:v>
      </x:c>
      <x:c r="T165" s="16" t="n">
        <x:f>IF(SUM(P165:S165)=4,1,0)</x:f>
        <x:v>1</x:v>
      </x:c>
    </x:row>
    <x:row r="166" ht="40" customHeight="1">
      <x:c r="A166" s="16" t="n">
        <x:v>81</x:v>
      </x:c>
      <x:c r="B166" s="2" t="str">
        <x:v>Q200873_P495_2</x:v>
      </x:c>
      <x:c r="C166" s="21" t="str">
        <x:v>Name the countries of origin of The Lost World: Jurassic Park.</x:v>
      </x:c>
      <x:c r="D166" s="21" t="str">
        <x:v>The Lost World: Jurassic Park originated in United States. || The countries of origin of The Lost World: Jurassic Park are United States.</x:v>
      </x:c>
      <x:c r="E166" s="16" t="n">
        <x:v>1</x:v>
      </x:c>
      <x:c r="F166" s="21" t="str">
        <x:v>The Lost World: Jurassic Park originated in United States.</x:v>
      </x:c>
      <x:c r="G166" s="2" t="str">
        <x:v>B0</x:v>
      </x:c>
      <x:c r="H166" s="2" t="str">
        <x:v>自动评审01</x:v>
      </x:c>
      <x:c r="I166" s="16" t="n">
        <x:v>2</x:v>
      </x:c>
      <x:c r="J166" s="16" t="n">
        <x:v>2</x:v>
      </x:c>
      <x:c r="K166" s="16" t="n">
        <x:v>4</x:v>
      </x:c>
      <x:c r="L166" s="16" t="n">
        <x:v>0</x:v>
      </x:c>
      <x:c r="M166" s="21" t="str">
        <x:v>The Lost World: Jurassic Park 的美国来源正确完整；United States 前缺少 the。</x:v>
      </x:c>
      <x:c r="N166" s="2" t="str">
        <x:v>gpt-6.1-sol</x:v>
      </x:c>
      <x:c r="O166" s="2" t="str">
        <x:v>ultra</x:v>
      </x:c>
      <x:c r="P166" s="16" t="n">
        <x:f>IF(I166=I366,1,0)</x:f>
        <x:v>1</x:v>
      </x:c>
      <x:c r="Q166" s="16" t="n">
        <x:f>IF(J166=J366,1,0)</x:f>
        <x:v>1</x:v>
      </x:c>
      <x:c r="R166" s="16" t="n">
        <x:f>IF(K166=K366,1,0)</x:f>
        <x:v>1</x:v>
      </x:c>
      <x:c r="S166" s="16" t="n">
        <x:f>IF(L166=L366,1,0)</x:f>
        <x:v>1</x:v>
      </x:c>
      <x:c r="T166" s="16" t="n">
        <x:f>IF(SUM(P166:S166)=4,1,0)</x:f>
        <x:v>1</x:v>
      </x:c>
    </x:row>
    <x:row r="167" ht="40" customHeight="1">
      <x:c r="A167" s="16" t="n">
        <x:v>81</x:v>
      </x:c>
      <x:c r="B167" s="2" t="str">
        <x:v>Q200873_P495_2</x:v>
      </x:c>
      <x:c r="C167" s="21" t="str">
        <x:v>Name the countries of origin of The Lost World: Jurassic Park.</x:v>
      </x:c>
      <x:c r="D167" s="21" t="str">
        <x:v>The Lost World: Jurassic Park originated in United States. || The countries of origin of The Lost World: Jurassic Park are United States.</x:v>
      </x:c>
      <x:c r="E167" s="16" t="n">
        <x:v>2</x:v>
      </x:c>
      <x:c r="F167" s="21" t="str">
        <x:v>The Lost World: Jurassic Park originated in United States.</x:v>
      </x:c>
      <x:c r="G167" s="2" t="str">
        <x:v>A0</x:v>
      </x:c>
      <x:c r="H167" s="2" t="str">
        <x:v>自动评审01</x:v>
      </x:c>
      <x:c r="I167" s="16" t="n">
        <x:v>2</x:v>
      </x:c>
      <x:c r="J167" s="16" t="n">
        <x:v>2</x:v>
      </x:c>
      <x:c r="K167" s="16" t="n">
        <x:v>4</x:v>
      </x:c>
      <x:c r="L167" s="16" t="n">
        <x:v>0</x:v>
      </x:c>
      <x:c r="M167" s="21" t="str">
        <x:v>美国这一唯一参考产地被完整给出，无新增国家；in United States 漏定冠词。</x:v>
      </x:c>
      <x:c r="N167" s="2" t="str">
        <x:v>gpt-6.1-sol</x:v>
      </x:c>
      <x:c r="O167" s="2" t="str">
        <x:v>ultra</x:v>
      </x:c>
      <x:c r="P167" s="16" t="n">
        <x:f>IF(I167=I367,1,0)</x:f>
        <x:v>1</x:v>
      </x:c>
      <x:c r="Q167" s="16" t="n">
        <x:f>IF(J167=J367,1,0)</x:f>
        <x:v>1</x:v>
      </x:c>
      <x:c r="R167" s="16" t="n">
        <x:f>IF(K167=K367,1,0)</x:f>
        <x:v>1</x:v>
      </x:c>
      <x:c r="S167" s="16" t="n">
        <x:f>IF(L167=L367,1,0)</x:f>
        <x:v>1</x:v>
      </x:c>
      <x:c r="T167" s="16" t="n">
        <x:f>IF(SUM(P167:S167)=4,1,0)</x:f>
        <x:v>1</x:v>
      </x:c>
    </x:row>
    <x:row r="168" ht="40" customHeight="1">
      <x:c r="A168" s="16" t="n">
        <x:v>82</x:v>
      </x:c>
      <x:c r="B168" s="2" t="str">
        <x:v>Q490764_P364_0</x:v>
      </x:c>
      <x:c r="C168" s="21" t="str">
        <x:v>What is the original language of Five Senses of Eros?</x:v>
      </x:c>
      <x:c r="D168" s="21" t="str">
        <x:v>The original languages of Five Senses of Eros are Korean. || Five Senses of Eros was originally made in Korean.</x:v>
      </x:c>
      <x:c r="E168" s="16" t="n">
        <x:v>1</x:v>
      </x:c>
      <x:c r="F168" s="21" t="str">
        <x:v>The original languages of Five Senses of Eros are Korean.</x:v>
      </x:c>
      <x:c r="G168" s="2" t="str">
        <x:v>B0</x:v>
      </x:c>
      <x:c r="H168" s="2" t="str">
        <x:v>自动评审01</x:v>
      </x:c>
      <x:c r="I168" s="16" t="n">
        <x:v>2</x:v>
      </x:c>
      <x:c r="J168" s="16" t="n">
        <x:v>2</x:v>
      </x:c>
      <x:c r="K168" s="16" t="n">
        <x:v>4</x:v>
      </x:c>
      <x:c r="L168" s="16" t="n">
        <x:v>0</x:v>
      </x:c>
      <x:c r="M168" s="21" t="str">
        <x:v>Five Senses of Eros 的 Korean 原始语言正确齐全；单门语言却用 languages are，措辞略生硬。</x:v>
      </x:c>
      <x:c r="N168" s="2" t="str">
        <x:v>gpt-6.1-sol</x:v>
      </x:c>
      <x:c r="O168" s="2" t="str">
        <x:v>ultra</x:v>
      </x:c>
      <x:c r="P168" s="16" t="n">
        <x:f>IF(I168=I368,1,0)</x:f>
        <x:v>1</x:v>
      </x:c>
      <x:c r="Q168" s="16" t="n">
        <x:f>IF(J168=J368,1,0)</x:f>
        <x:v>1</x:v>
      </x:c>
      <x:c r="R168" s="16" t="n">
        <x:f>IF(K168=K368,1,0)</x:f>
        <x:v>1</x:v>
      </x:c>
      <x:c r="S168" s="16" t="n">
        <x:f>IF(L168=L368,1,0)</x:f>
        <x:v>1</x:v>
      </x:c>
      <x:c r="T168" s="16" t="n">
        <x:f>IF(SUM(P168:S168)=4,1,0)</x:f>
        <x:v>1</x:v>
      </x:c>
    </x:row>
    <x:row r="169" ht="40" customHeight="1">
      <x:c r="A169" s="16" t="n">
        <x:v>82</x:v>
      </x:c>
      <x:c r="B169" s="2" t="str">
        <x:v>Q490764_P364_0</x:v>
      </x:c>
      <x:c r="C169" s="21" t="str">
        <x:v>What is the original language of Five Senses of Eros?</x:v>
      </x:c>
      <x:c r="D169" s="21" t="str">
        <x:v>The original languages of Five Senses of Eros are Korean. || Five Senses of Eros was originally made in Korean.</x:v>
      </x:c>
      <x:c r="E169" s="16" t="n">
        <x:v>2</x:v>
      </x:c>
      <x:c r="F169" s="21" t="str">
        <x:v>The original languages of Five Senses of Eros are Korean.</x:v>
      </x:c>
      <x:c r="G169" s="2" t="str">
        <x:v>A0</x:v>
      </x:c>
      <x:c r="H169" s="2" t="str">
        <x:v>自动评审01</x:v>
      </x:c>
      <x:c r="I169" s="16" t="n">
        <x:v>2</x:v>
      </x:c>
      <x:c r="J169" s="16" t="n">
        <x:v>2</x:v>
      </x:c>
      <x:c r="K169" s="16" t="n">
        <x:v>4</x:v>
      </x:c>
      <x:c r="L169" s="16" t="n">
        <x:v>0</x:v>
      </x:c>
      <x:c r="M169" s="21" t="str">
        <x:v>韩语完整覆盖参考语言事实，未加其他语言；单项列表使用复数 languages 稍不自然。</x:v>
      </x:c>
      <x:c r="N169" s="2" t="str">
        <x:v>gpt-6.1-sol</x:v>
      </x:c>
      <x:c r="O169" s="2" t="str">
        <x:v>ultra</x:v>
      </x:c>
      <x:c r="P169" s="16" t="n">
        <x:f>IF(I169=I369,1,0)</x:f>
        <x:v>1</x:v>
      </x:c>
      <x:c r="Q169" s="16" t="n">
        <x:f>IF(J169=J369,1,0)</x:f>
        <x:v>1</x:v>
      </x:c>
      <x:c r="R169" s="16" t="n">
        <x:f>IF(K169=K369,1,0)</x:f>
        <x:v>1</x:v>
      </x:c>
      <x:c r="S169" s="16" t="n">
        <x:f>IF(L169=L369,1,0)</x:f>
        <x:v>1</x:v>
      </x:c>
      <x:c r="T169" s="16" t="n">
        <x:f>IF(SUM(P169:S169)=4,1,0)</x:f>
        <x:v>1</x:v>
      </x:c>
    </x:row>
    <x:row r="170" ht="40" customHeight="1">
      <x:c r="A170" s="16" t="n">
        <x:v>83</x:v>
      </x:c>
      <x:c r="B170" s="2" t="str">
        <x:v>Q112252419_P57_1</x:v>
      </x:c>
      <x:c r="C170" s="21" t="str">
        <x:v>Who was the director of Society of the Snow?</x:v>
      </x:c>
      <x:c r="D170" s="21" t="str">
        <x:v>Society of the Snow was directed by J. A. Bayona. || The director or directors of Society of the Snow are J. A. Bayona.</x:v>
      </x:c>
      <x:c r="E170" s="16" t="n">
        <x:v>1</x:v>
      </x:c>
      <x:c r="F170" s="21" t="str">
        <x:v>Society of the Snow was directed by J. A. Bayona.</x:v>
      </x:c>
      <x:c r="G170" s="2" t="str">
        <x:v>A0</x:v>
      </x:c>
      <x:c r="H170" s="2" t="str">
        <x:v>自动评审01</x:v>
      </x:c>
      <x:c r="I170" s="16" t="n">
        <x:v>2</x:v>
      </x:c>
      <x:c r="J170" s="16" t="n">
        <x:v>2</x:v>
      </x:c>
      <x:c r="K170" s="16" t="n">
        <x:v>5</x:v>
      </x:c>
      <x:c r="L170" s="16" t="n">
        <x:v>0</x:v>
      </x:c>
      <x:c r="M170" s="21" t="str">
        <x:v>Society of the Snow 的导演 J. A. Bayona 正确完整，姓名缩写自然，表达清楚。</x:v>
      </x:c>
      <x:c r="N170" s="2" t="str">
        <x:v>gpt-6.1-sol</x:v>
      </x:c>
      <x:c r="O170" s="2" t="str">
        <x:v>ultra</x:v>
      </x:c>
      <x:c r="P170" s="16" t="n">
        <x:f>IF(I170=I370,1,0)</x:f>
        <x:v>1</x:v>
      </x:c>
      <x:c r="Q170" s="16" t="n">
        <x:f>IF(J170=J370,1,0)</x:f>
        <x:v>1</x:v>
      </x:c>
      <x:c r="R170" s="16" t="n">
        <x:f>IF(K170=K370,1,0)</x:f>
        <x:v>1</x:v>
      </x:c>
      <x:c r="S170" s="16" t="n">
        <x:f>IF(L170=L370,1,0)</x:f>
        <x:v>1</x:v>
      </x:c>
      <x:c r="T170" s="16" t="n">
        <x:f>IF(SUM(P170:S170)=4,1,0)</x:f>
        <x:v>1</x:v>
      </x:c>
    </x:row>
    <x:row r="171" ht="40" customHeight="1">
      <x:c r="A171" s="16" t="n">
        <x:v>83</x:v>
      </x:c>
      <x:c r="B171" s="2" t="str">
        <x:v>Q112252419_P57_1</x:v>
      </x:c>
      <x:c r="C171" s="21" t="str">
        <x:v>Who was the director of Society of the Snow?</x:v>
      </x:c>
      <x:c r="D171" s="21" t="str">
        <x:v>Society of the Snow was directed by J. A. Bayona. || The director or directors of Society of the Snow are J. A. Bayona.</x:v>
      </x:c>
      <x:c r="E171" s="16" t="n">
        <x:v>2</x:v>
      </x:c>
      <x:c r="F171" s="21" t="str">
        <x:v>Society of the Snow was directed by J. A. Bayona.</x:v>
      </x:c>
      <x:c r="G171" s="2" t="str">
        <x:v>B0</x:v>
      </x:c>
      <x:c r="H171" s="2" t="str">
        <x:v>自动评审01</x:v>
      </x:c>
      <x:c r="I171" s="16" t="n">
        <x:v>2</x:v>
      </x:c>
      <x:c r="J171" s="16" t="n">
        <x:v>2</x:v>
      </x:c>
      <x:c r="K171" s="16" t="n">
        <x:v>5</x:v>
      </x:c>
      <x:c r="L171" s="16" t="n">
        <x:v>0</x:v>
      </x:c>
      <x:c r="M171" s="21" t="str">
        <x:v>J. A. Bayona 与参考导演一致，电影关系完整，无额外事实，被动句流畅。</x:v>
      </x:c>
      <x:c r="N171" s="2" t="str">
        <x:v>gpt-6.1-sol</x:v>
      </x:c>
      <x:c r="O171" s="2" t="str">
        <x:v>ultra</x:v>
      </x:c>
      <x:c r="P171" s="16" t="n">
        <x:f>IF(I171=I371,1,0)</x:f>
        <x:v>1</x:v>
      </x:c>
      <x:c r="Q171" s="16" t="n">
        <x:f>IF(J171=J371,1,0)</x:f>
        <x:v>1</x:v>
      </x:c>
      <x:c r="R171" s="16" t="n">
        <x:f>IF(K171=K371,1,0)</x:f>
        <x:v>1</x:v>
      </x:c>
      <x:c r="S171" s="16" t="n">
        <x:f>IF(L171=L371,1,0)</x:f>
        <x:v>1</x:v>
      </x:c>
      <x:c r="T171" s="16" t="n">
        <x:f>IF(SUM(P171:S171)=4,1,0)</x:f>
        <x:v>1</x:v>
      </x:c>
    </x:row>
    <x:row r="172" ht="40" customHeight="1">
      <x:c r="A172" s="16" t="n">
        <x:v>84</x:v>
      </x:c>
      <x:c r="B172" s="2" t="str">
        <x:v>Q1741232_P364_1</x:v>
      </x:c>
      <x:c r="C172" s="21" t="str">
        <x:v>Which languages was Mission: Impossible originally made in?</x:v>
      </x:c>
      <x:c r="D172" s="21" t="str">
        <x:v>The original languages of Mission: Impossible are English. || Mission: Impossible was originally made in English.</x:v>
      </x:c>
      <x:c r="E172" s="16" t="n">
        <x:v>1</x:v>
      </x:c>
      <x:c r="F172" s="21" t="str">
        <x:v>The original languages of Mission: Impossible are English.</x:v>
      </x:c>
      <x:c r="G172" s="2" t="str">
        <x:v>A0</x:v>
      </x:c>
      <x:c r="H172" s="2" t="str">
        <x:v>自动评审01</x:v>
      </x:c>
      <x:c r="I172" s="16" t="n">
        <x:v>2</x:v>
      </x:c>
      <x:c r="J172" s="16" t="n">
        <x:v>2</x:v>
      </x:c>
      <x:c r="K172" s="16" t="n">
        <x:v>4</x:v>
      </x:c>
      <x:c r="L172" s="16" t="n">
        <x:v>0</x:v>
      </x:c>
      <x:c r="M172" s="21" t="str">
        <x:v>Mission: Impossible 的 English 原始语言正确完整；单一语言用复数 languages are 稍生硬。</x:v>
      </x:c>
      <x:c r="N172" s="2" t="str">
        <x:v>gpt-6.1-sol</x:v>
      </x:c>
      <x:c r="O172" s="2" t="str">
        <x:v>ultra</x:v>
      </x:c>
      <x:c r="P172" s="16" t="n">
        <x:f>IF(I172=I372,1,0)</x:f>
        <x:v>1</x:v>
      </x:c>
      <x:c r="Q172" s="16" t="n">
        <x:f>IF(J172=J372,1,0)</x:f>
        <x:v>1</x:v>
      </x:c>
      <x:c r="R172" s="16" t="n">
        <x:f>IF(K172=K372,1,0)</x:f>
        <x:v>1</x:v>
      </x:c>
      <x:c r="S172" s="16" t="n">
        <x:f>IF(L172=L372,1,0)</x:f>
        <x:v>1</x:v>
      </x:c>
      <x:c r="T172" s="16" t="n">
        <x:f>IF(SUM(P172:S172)=4,1,0)</x:f>
        <x:v>1</x:v>
      </x:c>
    </x:row>
    <x:row r="173" ht="40" customHeight="1">
      <x:c r="A173" s="16" t="n">
        <x:v>84</x:v>
      </x:c>
      <x:c r="B173" s="2" t="str">
        <x:v>Q1741232_P364_1</x:v>
      </x:c>
      <x:c r="C173" s="21" t="str">
        <x:v>Which languages was Mission: Impossible originally made in?</x:v>
      </x:c>
      <x:c r="D173" s="21" t="str">
        <x:v>The original languages of Mission: Impossible are English. || Mission: Impossible was originally made in English.</x:v>
      </x:c>
      <x:c r="E173" s="16" t="n">
        <x:v>2</x:v>
      </x:c>
      <x:c r="F173" s="21" t="str">
        <x:v>The original languages of Mission: Impossible are English.</x:v>
      </x:c>
      <x:c r="G173" s="2" t="str">
        <x:v>B0</x:v>
      </x:c>
      <x:c r="H173" s="2" t="str">
        <x:v>自动评审01</x:v>
      </x:c>
      <x:c r="I173" s="16" t="n">
        <x:v>2</x:v>
      </x:c>
      <x:c r="J173" s="16" t="n">
        <x:v>2</x:v>
      </x:c>
      <x:c r="K173" s="16" t="n">
        <x:v>4</x:v>
      </x:c>
      <x:c r="L173" s="16" t="n">
        <x:v>0</x:v>
      </x:c>
      <x:c r="M173" s="21" t="str">
        <x:v>英语这一唯一语言与参考相符，无事实扩展；单项语言与 languages 的复数搭配略别扭。</x:v>
      </x:c>
      <x:c r="N173" s="2" t="str">
        <x:v>gpt-6.1-sol</x:v>
      </x:c>
      <x:c r="O173" s="2" t="str">
        <x:v>ultra</x:v>
      </x:c>
      <x:c r="P173" s="16" t="n">
        <x:f>IF(I173=I373,1,0)</x:f>
        <x:v>1</x:v>
      </x:c>
      <x:c r="Q173" s="16" t="n">
        <x:f>IF(J173=J373,1,0)</x:f>
        <x:v>1</x:v>
      </x:c>
      <x:c r="R173" s="16" t="n">
        <x:f>IF(K173=K373,1,0)</x:f>
        <x:v>1</x:v>
      </x:c>
      <x:c r="S173" s="16" t="n">
        <x:f>IF(L173=L373,1,0)</x:f>
        <x:v>1</x:v>
      </x:c>
      <x:c r="T173" s="16" t="n">
        <x:f>IF(SUM(P173:S173)=4,1,0)</x:f>
        <x:v>1</x:v>
      </x:c>
    </x:row>
    <x:row r="174" ht="40" customHeight="1">
      <x:c r="A174" s="16" t="n">
        <x:v>85</x:v>
      </x:c>
      <x:c r="B174" s="2" t="str">
        <x:v>Q673195_P495_0</x:v>
      </x:c>
      <x:c r="C174" s="21" t="str">
        <x:v>Which country did Solaris (2002) originate in?</x:v>
      </x:c>
      <x:c r="D174" s="21" t="str">
        <x:v>Solaris originated in United States. || The countries of origin of Solaris are United States.</x:v>
      </x:c>
      <x:c r="E174" s="16" t="n">
        <x:v>1</x:v>
      </x:c>
      <x:c r="F174" s="21" t="str">
        <x:v>Solaris originated in United States.</x:v>
      </x:c>
      <x:c r="G174" s="2" t="str">
        <x:v>B0</x:v>
      </x:c>
      <x:c r="H174" s="2" t="str">
        <x:v>自动评审01</x:v>
      </x:c>
      <x:c r="I174" s="16" t="n">
        <x:v>2</x:v>
      </x:c>
      <x:c r="J174" s="16" t="n">
        <x:v>2</x:v>
      </x:c>
      <x:c r="K174" s="16" t="n">
        <x:v>4</x:v>
      </x:c>
      <x:c r="L174" s="16" t="n">
        <x:v>0</x:v>
      </x:c>
      <x:c r="M174" s="21" t="str">
        <x:v>正确给出本题 2002 年 Solaris 的美国来源；United States 前缺定冠词 the。</x:v>
      </x:c>
      <x:c r="N174" s="2" t="str">
        <x:v>gpt-6.1-sol</x:v>
      </x:c>
      <x:c r="O174" s="2" t="str">
        <x:v>ultra</x:v>
      </x:c>
      <x:c r="P174" s="16" t="n">
        <x:f>IF(I174=I374,1,0)</x:f>
        <x:v>1</x:v>
      </x:c>
      <x:c r="Q174" s="16" t="n">
        <x:f>IF(J174=J374,1,0)</x:f>
        <x:v>1</x:v>
      </x:c>
      <x:c r="R174" s="16" t="n">
        <x:f>IF(K174=K374,1,0)</x:f>
        <x:v>1</x:v>
      </x:c>
      <x:c r="S174" s="16" t="n">
        <x:f>IF(L174=L374,1,0)</x:f>
        <x:v>1</x:v>
      </x:c>
      <x:c r="T174" s="16" t="n">
        <x:f>IF(SUM(P174:S174)=4,1,0)</x:f>
        <x:v>1</x:v>
      </x:c>
    </x:row>
    <x:row r="175" ht="40" customHeight="1">
      <x:c r="A175" s="16" t="n">
        <x:v>85</x:v>
      </x:c>
      <x:c r="B175" s="2" t="str">
        <x:v>Q673195_P495_0</x:v>
      </x:c>
      <x:c r="C175" s="21" t="str">
        <x:v>Which country did Solaris (2002) originate in?</x:v>
      </x:c>
      <x:c r="D175" s="21" t="str">
        <x:v>Solaris originated in United States. || The countries of origin of Solaris are United States.</x:v>
      </x:c>
      <x:c r="E175" s="16" t="n">
        <x:v>2</x:v>
      </x:c>
      <x:c r="F175" s="21" t="str">
        <x:v>Solaris originated in United States.</x:v>
      </x:c>
      <x:c r="G175" s="2" t="str">
        <x:v>A0</x:v>
      </x:c>
      <x:c r="H175" s="2" t="str">
        <x:v>自动评审01</x:v>
      </x:c>
      <x:c r="I175" s="16" t="n">
        <x:v>2</x:v>
      </x:c>
      <x:c r="J175" s="16" t="n">
        <x:v>2</x:v>
      </x:c>
      <x:c r="K175" s="16" t="n">
        <x:v>4</x:v>
      </x:c>
      <x:c r="L175" s="16" t="n">
        <x:v>0</x:v>
      </x:c>
      <x:c r="M175" s="21" t="str">
        <x:v>美国为参考唯一产地，回答齐全无新国家；in United States 的冠词缺失略不自然。</x:v>
      </x:c>
      <x:c r="N175" s="2" t="str">
        <x:v>gpt-6.1-sol</x:v>
      </x:c>
      <x:c r="O175" s="2" t="str">
        <x:v>ultra</x:v>
      </x:c>
      <x:c r="P175" s="16" t="n">
        <x:f>IF(I175=I375,1,0)</x:f>
        <x:v>1</x:v>
      </x:c>
      <x:c r="Q175" s="16" t="n">
        <x:f>IF(J175=J375,1,0)</x:f>
        <x:v>1</x:v>
      </x:c>
      <x:c r="R175" s="16" t="n">
        <x:f>IF(K175=K375,1,0)</x:f>
        <x:v>1</x:v>
      </x:c>
      <x:c r="S175" s="16" t="n">
        <x:f>IF(L175=L375,1,0)</x:f>
        <x:v>1</x:v>
      </x:c>
      <x:c r="T175" s="16" t="n">
        <x:f>IF(SUM(P175:S175)=4,1,0)</x:f>
        <x:v>1</x:v>
      </x:c>
    </x:row>
    <x:row r="176" ht="54" customHeight="1">
      <x:c r="A176" s="16" t="n">
        <x:v>86</x:v>
      </x:c>
      <x:c r="B176" s="2" t="str">
        <x:v>Q388319_P136_2</x:v>
      </x:c>
      <x:c r="C176" s="21" t="str">
        <x:v>Name the genre or genres of Star Trek: Nemesis.</x:v>
      </x:c>
      <x:c r="D176" s="21" t="str">
        <x:v>Star Trek: Nemesis belongs to the following genres: action film, adventure film and science fiction film. || The genres of Star Trek: Nemesis are action film, adventure film and science fiction film.</x:v>
      </x:c>
      <x:c r="E176" s="16" t="n">
        <x:v>1</x:v>
      </x:c>
      <x:c r="F176" s="21" t="str">
        <x:v>Star Trek: Nemesis belongs to the following genres: action film, adventure film and science fiction film.</x:v>
      </x:c>
      <x:c r="G176" s="2" t="str">
        <x:v>A0</x:v>
      </x:c>
      <x:c r="H176" s="2" t="str">
        <x:v>自动评审01</x:v>
      </x:c>
      <x:c r="I176" s="16" t="n">
        <x:v>2</x:v>
      </x:c>
      <x:c r="J176" s="16" t="n">
        <x:v>2</x:v>
      </x:c>
      <x:c r="K176" s="16" t="n">
        <x:v>5</x:v>
      </x:c>
      <x:c r="L176" s="16" t="n">
        <x:v>0</x:v>
      </x:c>
      <x:c r="M176" s="21" t="str">
        <x:v>动作片、冒险片和科幻片三种类型正确完整，列举结构自然。</x:v>
      </x:c>
      <x:c r="N176" s="2" t="str">
        <x:v>gpt-6.1-sol</x:v>
      </x:c>
      <x:c r="O176" s="2" t="str">
        <x:v>ultra</x:v>
      </x:c>
      <x:c r="P176" s="16" t="n">
        <x:f>IF(I176=I376,1,0)</x:f>
        <x:v>1</x:v>
      </x:c>
      <x:c r="Q176" s="16" t="n">
        <x:f>IF(J176=J376,1,0)</x:f>
        <x:v>1</x:v>
      </x:c>
      <x:c r="R176" s="16" t="n">
        <x:f>IF(K176=K376,1,0)</x:f>
        <x:v>1</x:v>
      </x:c>
      <x:c r="S176" s="16" t="n">
        <x:f>IF(L176=L376,1,0)</x:f>
        <x:v>1</x:v>
      </x:c>
      <x:c r="T176" s="16" t="n">
        <x:f>IF(SUM(P176:S176)=4,1,0)</x:f>
        <x:v>1</x:v>
      </x:c>
    </x:row>
    <x:row r="177" ht="54" customHeight="1">
      <x:c r="A177" s="16" t="n">
        <x:v>86</x:v>
      </x:c>
      <x:c r="B177" s="2" t="str">
        <x:v>Q388319_P136_2</x:v>
      </x:c>
      <x:c r="C177" s="21" t="str">
        <x:v>Name the genre or genres of Star Trek: Nemesis.</x:v>
      </x:c>
      <x:c r="D177" s="21" t="str">
        <x:v>Star Trek: Nemesis belongs to the following genres: action film, adventure film and science fiction film. || The genres of Star Trek: Nemesis are action film, adventure film and science fiction film.</x:v>
      </x:c>
      <x:c r="E177" s="16" t="n">
        <x:v>2</x:v>
      </x:c>
      <x:c r="F177" s="21" t="str">
        <x:v>Star Trek: Nemesis belongs to the following genres: action film, adventure film and science fiction film.</x:v>
      </x:c>
      <x:c r="G177" s="2" t="str">
        <x:v>B0</x:v>
      </x:c>
      <x:c r="H177" s="2" t="str">
        <x:v>自动评审01</x:v>
      </x:c>
      <x:c r="I177" s="16" t="n">
        <x:v>2</x:v>
      </x:c>
      <x:c r="J177" s="16" t="n">
        <x:v>2</x:v>
      </x:c>
      <x:c r="K177" s="16" t="n">
        <x:v>5</x:v>
      </x:c>
      <x:c r="L177" s="16" t="n">
        <x:v>0</x:v>
      </x:c>
      <x:c r="M177" s="21" t="str">
        <x:v>Star Trek: Nemesis 的 action film、adventure film、science fiction film 均有参考支持，表达流畅。</x:v>
      </x:c>
      <x:c r="N177" s="2" t="str">
        <x:v>gpt-6.1-sol</x:v>
      </x:c>
      <x:c r="O177" s="2" t="str">
        <x:v>ultra</x:v>
      </x:c>
      <x:c r="P177" s="16" t="n">
        <x:f>IF(I177=I377,1,0)</x:f>
        <x:v>1</x:v>
      </x:c>
      <x:c r="Q177" s="16" t="n">
        <x:f>IF(J177=J377,1,0)</x:f>
        <x:v>1</x:v>
      </x:c>
      <x:c r="R177" s="16" t="n">
        <x:f>IF(K177=K377,1,0)</x:f>
        <x:v>1</x:v>
      </x:c>
      <x:c r="S177" s="16" t="n">
        <x:f>IF(L177=L377,1,0)</x:f>
        <x:v>1</x:v>
      </x:c>
      <x:c r="T177" s="16" t="n">
        <x:f>IF(SUM(P177:S177)=4,1,0)</x:f>
        <x:v>1</x:v>
      </x:c>
    </x:row>
    <x:row r="178" ht="40" customHeight="1">
      <x:c r="A178" s="16" t="n">
        <x:v>87</x:v>
      </x:c>
      <x:c r="B178" s="2" t="str">
        <x:v>Q25461297_P57_0</x:v>
      </x:c>
      <x:c r="C178" s="21" t="str">
        <x:v>Who directed The Predator?</x:v>
      </x:c>
      <x:c r="D178" s="21" t="str">
        <x:v>The Predator was directed by Shane Black. || The director or directors of The Predator are Shane Black.</x:v>
      </x:c>
      <x:c r="E178" s="16" t="n">
        <x:v>1</x:v>
      </x:c>
      <x:c r="F178" s="21" t="str">
        <x:v>The Predator was directed by Shane Black.</x:v>
      </x:c>
      <x:c r="G178" s="2" t="str">
        <x:v>A0</x:v>
      </x:c>
      <x:c r="H178" s="2" t="str">
        <x:v>自动评审01</x:v>
      </x:c>
      <x:c r="I178" s="16" t="n">
        <x:v>2</x:v>
      </x:c>
      <x:c r="J178" s="16" t="n">
        <x:v>2</x:v>
      </x:c>
      <x:c r="K178" s="16" t="n">
        <x:v>5</x:v>
      </x:c>
      <x:c r="L178" s="16" t="n">
        <x:v>0</x:v>
      </x:c>
      <x:c r="M178" s="21" t="str">
        <x:v>The Predator 的导演 Shane Black 与参考相符，所问人物完整，英语自然。</x:v>
      </x:c>
      <x:c r="N178" s="2" t="str">
        <x:v>gpt-6.1-sol</x:v>
      </x:c>
      <x:c r="O178" s="2" t="str">
        <x:v>ultra</x:v>
      </x:c>
      <x:c r="P178" s="16" t="n">
        <x:f>IF(I178=I378,1,0)</x:f>
        <x:v>1</x:v>
      </x:c>
      <x:c r="Q178" s="16" t="n">
        <x:f>IF(J178=J378,1,0)</x:f>
        <x:v>1</x:v>
      </x:c>
      <x:c r="R178" s="16" t="n">
        <x:f>IF(K178=K378,1,0)</x:f>
        <x:v>1</x:v>
      </x:c>
      <x:c r="S178" s="16" t="n">
        <x:f>IF(L178=L378,1,0)</x:f>
        <x:v>1</x:v>
      </x:c>
      <x:c r="T178" s="16" t="n">
        <x:f>IF(SUM(P178:S178)=4,1,0)</x:f>
        <x:v>1</x:v>
      </x:c>
    </x:row>
    <x:row r="179" ht="40" customHeight="1">
      <x:c r="A179" s="16" t="n">
        <x:v>87</x:v>
      </x:c>
      <x:c r="B179" s="2" t="str">
        <x:v>Q25461297_P57_0</x:v>
      </x:c>
      <x:c r="C179" s="21" t="str">
        <x:v>Who directed The Predator?</x:v>
      </x:c>
      <x:c r="D179" s="21" t="str">
        <x:v>The Predator was directed by Shane Black. || The director or directors of The Predator are Shane Black.</x:v>
      </x:c>
      <x:c r="E179" s="16" t="n">
        <x:v>2</x:v>
      </x:c>
      <x:c r="F179" s="21" t="str">
        <x:v>The Predator was directed by Shane Black.</x:v>
      </x:c>
      <x:c r="G179" s="2" t="str">
        <x:v>B0</x:v>
      </x:c>
      <x:c r="H179" s="2" t="str">
        <x:v>自动评审01</x:v>
      </x:c>
      <x:c r="I179" s="16" t="n">
        <x:v>2</x:v>
      </x:c>
      <x:c r="J179" s="16" t="n">
        <x:v>2</x:v>
      </x:c>
      <x:c r="K179" s="16" t="n">
        <x:v>5</x:v>
      </x:c>
      <x:c r="L179" s="16" t="n">
        <x:v>0</x:v>
      </x:c>
      <x:c r="M179" s="21" t="str">
        <x:v>正确指出 Shane Black 执导 The Predator，无额外关系或遗漏，被动句清楚。</x:v>
      </x:c>
      <x:c r="N179" s="2" t="str">
        <x:v>gpt-6.1-sol</x:v>
      </x:c>
      <x:c r="O179" s="2" t="str">
        <x:v>ultra</x:v>
      </x:c>
      <x:c r="P179" s="16" t="n">
        <x:f>IF(I179=I379,1,0)</x:f>
        <x:v>1</x:v>
      </x:c>
      <x:c r="Q179" s="16" t="n">
        <x:f>IF(J179=J379,1,0)</x:f>
        <x:v>1</x:v>
      </x:c>
      <x:c r="R179" s="16" t="n">
        <x:f>IF(K179=K379,1,0)</x:f>
        <x:v>1</x:v>
      </x:c>
      <x:c r="S179" s="16" t="n">
        <x:f>IF(L179=L379,1,0)</x:f>
        <x:v>1</x:v>
      </x:c>
      <x:c r="T179" s="16" t="n">
        <x:f>IF(SUM(P179:S179)=4,1,0)</x:f>
        <x:v>1</x:v>
      </x:c>
    </x:row>
    <x:row r="180" ht="40" customHeight="1">
      <x:c r="A180" s="16" t="n">
        <x:v>88</x:v>
      </x:c>
      <x:c r="B180" s="2" t="str">
        <x:v>Q159063_P57_2</x:v>
      </x:c>
      <x:c r="C180" s="21" t="str">
        <x:v>Name the director or directors of The Reader.</x:v>
      </x:c>
      <x:c r="D180" s="21" t="str">
        <x:v>The Reader was directed by Stephen Daldry. || The director or directors of The Reader are Stephen Daldry.</x:v>
      </x:c>
      <x:c r="E180" s="16" t="n">
        <x:v>1</x:v>
      </x:c>
      <x:c r="F180" s="21" t="str">
        <x:v>The Reader was directed by Stephen Daldry.</x:v>
      </x:c>
      <x:c r="G180" s="2" t="str">
        <x:v>B0</x:v>
      </x:c>
      <x:c r="H180" s="2" t="str">
        <x:v>自动评审01</x:v>
      </x:c>
      <x:c r="I180" s="16" t="n">
        <x:v>2</x:v>
      </x:c>
      <x:c r="J180" s="16" t="n">
        <x:v>2</x:v>
      </x:c>
      <x:c r="K180" s="16" t="n">
        <x:v>5</x:v>
      </x:c>
      <x:c r="L180" s="16" t="n">
        <x:v>0</x:v>
      </x:c>
      <x:c r="M180" s="21" t="str">
        <x:v>Stephen Daldry 是参考导演，The Reader 的执导关系完整正确，句法自然。</x:v>
      </x:c>
      <x:c r="N180" s="2" t="str">
        <x:v>gpt-6.1-sol</x:v>
      </x:c>
      <x:c r="O180" s="2" t="str">
        <x:v>ultra</x:v>
      </x:c>
      <x:c r="P180" s="16" t="n">
        <x:f>IF(I180=I380,1,0)</x:f>
        <x:v>1</x:v>
      </x:c>
      <x:c r="Q180" s="16" t="n">
        <x:f>IF(J180=J380,1,0)</x:f>
        <x:v>1</x:v>
      </x:c>
      <x:c r="R180" s="16" t="n">
        <x:f>IF(K180=K380,1,0)</x:f>
        <x:v>1</x:v>
      </x:c>
      <x:c r="S180" s="16" t="n">
        <x:f>IF(L180=L380,1,0)</x:f>
        <x:v>1</x:v>
      </x:c>
      <x:c r="T180" s="16" t="n">
        <x:f>IF(SUM(P180:S180)=4,1,0)</x:f>
        <x:v>1</x:v>
      </x:c>
    </x:row>
    <x:row r="181" ht="40" customHeight="1">
      <x:c r="A181" s="16" t="n">
        <x:v>88</x:v>
      </x:c>
      <x:c r="B181" s="2" t="str">
        <x:v>Q159063_P57_2</x:v>
      </x:c>
      <x:c r="C181" s="21" t="str">
        <x:v>Name the director or directors of The Reader.</x:v>
      </x:c>
      <x:c r="D181" s="21" t="str">
        <x:v>The Reader was directed by Stephen Daldry. || The director or directors of The Reader are Stephen Daldry.</x:v>
      </x:c>
      <x:c r="E181" s="16" t="n">
        <x:v>2</x:v>
      </x:c>
      <x:c r="F181" s="21" t="str">
        <x:v>The Reader was directed by Stephen Daldry.</x:v>
      </x:c>
      <x:c r="G181" s="2" t="str">
        <x:v>A0</x:v>
      </x:c>
      <x:c r="H181" s="2" t="str">
        <x:v>自动评审01</x:v>
      </x:c>
      <x:c r="I181" s="16" t="n">
        <x:v>2</x:v>
      </x:c>
      <x:c r="J181" s="16" t="n">
        <x:v>2</x:v>
      </x:c>
      <x:c r="K181" s="16" t="n">
        <x:v>5</x:v>
      </x:c>
      <x:c r="L181" s="16" t="n">
        <x:v>0</x:v>
      </x:c>
      <x:c r="M181" s="21" t="str">
        <x:v>正确回答 The Reader 由 Stephen Daldry 执导，未增加其他事实，表达流畅。</x:v>
      </x:c>
      <x:c r="N181" s="2" t="str">
        <x:v>gpt-6.1-sol</x:v>
      </x:c>
      <x:c r="O181" s="2" t="str">
        <x:v>ultra</x:v>
      </x:c>
      <x:c r="P181" s="16" t="n">
        <x:f>IF(I181=I381,1,0)</x:f>
        <x:v>1</x:v>
      </x:c>
      <x:c r="Q181" s="16" t="n">
        <x:f>IF(J181=J381,1,0)</x:f>
        <x:v>1</x:v>
      </x:c>
      <x:c r="R181" s="16" t="n">
        <x:f>IF(K181=K381,1,0)</x:f>
        <x:v>1</x:v>
      </x:c>
      <x:c r="S181" s="16" t="n">
        <x:f>IF(L181=L381,1,0)</x:f>
        <x:v>1</x:v>
      </x:c>
      <x:c r="T181" s="16" t="n">
        <x:f>IF(SUM(P181:S181)=4,1,0)</x:f>
        <x:v>1</x:v>
      </x:c>
    </x:row>
    <x:row r="182" ht="54" customHeight="1">
      <x:c r="A182" s="16" t="n">
        <x:v>89</x:v>
      </x:c>
      <x:c r="B182" s="2" t="str">
        <x:v>Q1215857_P136_2</x:v>
      </x:c>
      <x:c r="C182" s="21" t="str">
        <x:v>Name the genre or genres of The Russians Are Coming, the Russians Are Coming.</x:v>
      </x:c>
      <x:c r="D182" s="21" t="str">
        <x:v>The Russians Are Coming, the Russians Are Coming belongs to the following genres: comedy film. || The genres of The Russians Are Coming, the Russians Are Coming are comedy film.</x:v>
      </x:c>
      <x:c r="E182" s="16" t="n">
        <x:v>1</x:v>
      </x:c>
      <x:c r="F182" s="21" t="str">
        <x:v>The Russians Are Coming, the Russians Are Coming belongs to the following genres: comedy film.</x:v>
      </x:c>
      <x:c r="G182" s="2" t="str">
        <x:v>B0</x:v>
      </x:c>
      <x:c r="H182" s="2" t="str">
        <x:v>自动评审01</x:v>
      </x:c>
      <x:c r="I182" s="16" t="n">
        <x:v>2</x:v>
      </x:c>
      <x:c r="J182" s="16" t="n">
        <x:v>2</x:v>
      </x:c>
      <x:c r="K182" s="16" t="n">
        <x:v>4</x:v>
      </x:c>
      <x:c r="L182" s="16" t="n">
        <x:v>0</x:v>
      </x:c>
      <x:c r="M182" s="21" t="str">
        <x:v>喜剧片这一类型完整正确；单项类型用 following genres 略生硬，长片名中的逗号不作语法错误。</x:v>
      </x:c>
      <x:c r="N182" s="2" t="str">
        <x:v>gpt-6.1-sol</x:v>
      </x:c>
      <x:c r="O182" s="2" t="str">
        <x:v>ultra</x:v>
      </x:c>
      <x:c r="P182" s="16" t="n">
        <x:f>IF(I182=I382,1,0)</x:f>
        <x:v>1</x:v>
      </x:c>
      <x:c r="Q182" s="16" t="n">
        <x:f>IF(J182=J382,1,0)</x:f>
        <x:v>1</x:v>
      </x:c>
      <x:c r="R182" s="16" t="n">
        <x:f>IF(K182=K382,1,0)</x:f>
        <x:v>1</x:v>
      </x:c>
      <x:c r="S182" s="16" t="n">
        <x:f>IF(L182=L382,1,0)</x:f>
        <x:v>1</x:v>
      </x:c>
      <x:c r="T182" s="16" t="n">
        <x:f>IF(SUM(P182:S182)=4,1,0)</x:f>
        <x:v>1</x:v>
      </x:c>
    </x:row>
    <x:row r="183" ht="54" customHeight="1">
      <x:c r="A183" s="16" t="n">
        <x:v>89</x:v>
      </x:c>
      <x:c r="B183" s="2" t="str">
        <x:v>Q1215857_P136_2</x:v>
      </x:c>
      <x:c r="C183" s="21" t="str">
        <x:v>Name the genre or genres of The Russians Are Coming, the Russians Are Coming.</x:v>
      </x:c>
      <x:c r="D183" s="21" t="str">
        <x:v>The Russians Are Coming, the Russians Are Coming belongs to the following genres: comedy film. || The genres of The Russians Are Coming, the Russians Are Coming are comedy film.</x:v>
      </x:c>
      <x:c r="E183" s="16" t="n">
        <x:v>2</x:v>
      </x:c>
      <x:c r="F183" s="21" t="str">
        <x:v>The Russians Are Coming, the Russians Are Coming belongs to the following genres: comedy film.</x:v>
      </x:c>
      <x:c r="G183" s="2" t="str">
        <x:v>A0</x:v>
      </x:c>
      <x:c r="H183" s="2" t="str">
        <x:v>自动评审01</x:v>
      </x:c>
      <x:c r="I183" s="16" t="n">
        <x:v>2</x:v>
      </x:c>
      <x:c r="J183" s="16" t="n">
        <x:v>2</x:v>
      </x:c>
      <x:c r="K183" s="16" t="n">
        <x:v>4</x:v>
      </x:c>
      <x:c r="L183" s="16" t="n">
        <x:v>0</x:v>
      </x:c>
      <x:c r="M183" s="21" t="str">
        <x:v>该片的 comedy film 类型符合参考且无额外类型；仅一项却用 genres，复数措辞稍不自然。</x:v>
      </x:c>
      <x:c r="N183" s="2" t="str">
        <x:v>gpt-6.1-sol</x:v>
      </x:c>
      <x:c r="O183" s="2" t="str">
        <x:v>ultra</x:v>
      </x:c>
      <x:c r="P183" s="16" t="n">
        <x:f>IF(I183=I383,1,0)</x:f>
        <x:v>1</x:v>
      </x:c>
      <x:c r="Q183" s="16" t="n">
        <x:f>IF(J183=J383,1,0)</x:f>
        <x:v>1</x:v>
      </x:c>
      <x:c r="R183" s="16" t="n">
        <x:f>IF(K183=K383,1,0)</x:f>
        <x:v>1</x:v>
      </x:c>
      <x:c r="S183" s="16" t="n">
        <x:f>IF(L183=L383,1,0)</x:f>
        <x:v>1</x:v>
      </x:c>
      <x:c r="T183" s="16" t="n">
        <x:f>IF(SUM(P183:S183)=4,1,0)</x:f>
        <x:v>1</x:v>
      </x:c>
    </x:row>
    <x:row r="184" ht="40" customHeight="1">
      <x:c r="A184" s="16" t="n">
        <x:v>90</x:v>
      </x:c>
      <x:c r="B184" s="2" t="str">
        <x:v>Q1064885_P495_2</x:v>
      </x:c>
      <x:c r="C184" s="21" t="str">
        <x:v>Name the countries of origin of Dolphin Tale.</x:v>
      </x:c>
      <x:c r="D184" s="21" t="str">
        <x:v>Dolphin Tale originated in United States. || The countries of origin of Dolphin Tale are United States.</x:v>
      </x:c>
      <x:c r="E184" s="16" t="n">
        <x:v>1</x:v>
      </x:c>
      <x:c r="F184" s="21" t="str">
        <x:v>Dolphin Tale originated in United States.</x:v>
      </x:c>
      <x:c r="G184" s="2" t="str">
        <x:v>A0</x:v>
      </x:c>
      <x:c r="H184" s="2" t="str">
        <x:v>自动评审01</x:v>
      </x:c>
      <x:c r="I184" s="16" t="n">
        <x:v>2</x:v>
      </x:c>
      <x:c r="J184" s="16" t="n">
        <x:v>2</x:v>
      </x:c>
      <x:c r="K184" s="16" t="n">
        <x:v>4</x:v>
      </x:c>
      <x:c r="L184" s="16" t="n">
        <x:v>0</x:v>
      </x:c>
      <x:c r="M184" s="21" t="str">
        <x:v>Dolphin Tale 的美国来源正确完整；United States 前漏定冠词 the。</x:v>
      </x:c>
      <x:c r="N184" s="2" t="str">
        <x:v>gpt-6.1-sol</x:v>
      </x:c>
      <x:c r="O184" s="2" t="str">
        <x:v>ultra</x:v>
      </x:c>
      <x:c r="P184" s="16" t="n">
        <x:f>IF(I184=I384,1,0)</x:f>
        <x:v>1</x:v>
      </x:c>
      <x:c r="Q184" s="16" t="n">
        <x:f>IF(J184=J384,1,0)</x:f>
        <x:v>1</x:v>
      </x:c>
      <x:c r="R184" s="16" t="n">
        <x:f>IF(K184=K384,1,0)</x:f>
        <x:v>1</x:v>
      </x:c>
      <x:c r="S184" s="16" t="n">
        <x:f>IF(L184=L384,1,0)</x:f>
        <x:v>1</x:v>
      </x:c>
      <x:c r="T184" s="16" t="n">
        <x:f>IF(SUM(P184:S184)=4,1,0)</x:f>
        <x:v>1</x:v>
      </x:c>
    </x:row>
    <x:row r="185" ht="40" customHeight="1">
      <x:c r="A185" s="16" t="n">
        <x:v>90</x:v>
      </x:c>
      <x:c r="B185" s="2" t="str">
        <x:v>Q1064885_P495_2</x:v>
      </x:c>
      <x:c r="C185" s="21" t="str">
        <x:v>Name the countries of origin of Dolphin Tale.</x:v>
      </x:c>
      <x:c r="D185" s="21" t="str">
        <x:v>Dolphin Tale originated in United States. || The countries of origin of Dolphin Tale are United States.</x:v>
      </x:c>
      <x:c r="E185" s="16" t="n">
        <x:v>2</x:v>
      </x:c>
      <x:c r="F185" s="21" t="str">
        <x:v>Dolphin Tale originated in United States.</x:v>
      </x:c>
      <x:c r="G185" s="2" t="str">
        <x:v>B0</x:v>
      </x:c>
      <x:c r="H185" s="2" t="str">
        <x:v>自动评审01</x:v>
      </x:c>
      <x:c r="I185" s="16" t="n">
        <x:v>2</x:v>
      </x:c>
      <x:c r="J185" s="16" t="n">
        <x:v>2</x:v>
      </x:c>
      <x:c r="K185" s="16" t="n">
        <x:v>4</x:v>
      </x:c>
      <x:c r="L185" s="16" t="n">
        <x:v>0</x:v>
      </x:c>
      <x:c r="M185" s="21" t="str">
        <x:v>美国这一参考产地被完整给出，未增加其他国家；in United States 缺少 the。</x:v>
      </x:c>
      <x:c r="N185" s="2" t="str">
        <x:v>gpt-6.1-sol</x:v>
      </x:c>
      <x:c r="O185" s="2" t="str">
        <x:v>ultra</x:v>
      </x:c>
      <x:c r="P185" s="16" t="n">
        <x:f>IF(I185=I385,1,0)</x:f>
        <x:v>1</x:v>
      </x:c>
      <x:c r="Q185" s="16" t="n">
        <x:f>IF(J185=J385,1,0)</x:f>
        <x:v>1</x:v>
      </x:c>
      <x:c r="R185" s="16" t="n">
        <x:f>IF(K185=K385,1,0)</x:f>
        <x:v>1</x:v>
      </x:c>
      <x:c r="S185" s="16" t="n">
        <x:f>IF(L185=L385,1,0)</x:f>
        <x:v>1</x:v>
      </x:c>
      <x:c r="T185" s="16" t="n">
        <x:f>IF(SUM(P185:S185)=4,1,0)</x:f>
        <x:v>1</x:v>
      </x:c>
    </x:row>
    <x:row r="186" ht="40" customHeight="1">
      <x:c r="A186" s="16" t="n">
        <x:v>91</x:v>
      </x:c>
      <x:c r="B186" s="2" t="str">
        <x:v>Q669749_P364_2</x:v>
      </x:c>
      <x:c r="C186" s="21" t="str">
        <x:v>Name the original language or languages of The Song of Bernadette.</x:v>
      </x:c>
      <x:c r="D186" s="21" t="str">
        <x:v>The original languages of The Song of Bernadette are English. || The Song of Bernadette was originally made in English.</x:v>
      </x:c>
      <x:c r="E186" s="16" t="n">
        <x:v>1</x:v>
      </x:c>
      <x:c r="F186" s="21" t="str">
        <x:v>The original languages of The Song of Bernadette are English.</x:v>
      </x:c>
      <x:c r="G186" s="2" t="str">
        <x:v>A0</x:v>
      </x:c>
      <x:c r="H186" s="2" t="str">
        <x:v>自动评审01</x:v>
      </x:c>
      <x:c r="I186" s="16" t="n">
        <x:v>2</x:v>
      </x:c>
      <x:c r="J186" s="16" t="n">
        <x:v>2</x:v>
      </x:c>
      <x:c r="K186" s="16" t="n">
        <x:v>4</x:v>
      </x:c>
      <x:c r="L186" s="16" t="n">
        <x:v>0</x:v>
      </x:c>
      <x:c r="M186" s="21" t="str">
        <x:v>The Song of Bernadette 的 English 原始语言正确齐全；单门语言用 languages are 稍生硬。</x:v>
      </x:c>
      <x:c r="N186" s="2" t="str">
        <x:v>gpt-6.1-sol</x:v>
      </x:c>
      <x:c r="O186" s="2" t="str">
        <x:v>ultra</x:v>
      </x:c>
      <x:c r="P186" s="16" t="n">
        <x:f>IF(I186=I386,1,0)</x:f>
        <x:v>1</x:v>
      </x:c>
      <x:c r="Q186" s="16" t="n">
        <x:f>IF(J186=J386,1,0)</x:f>
        <x:v>1</x:v>
      </x:c>
      <x:c r="R186" s="16" t="n">
        <x:f>IF(K186=K386,1,0)</x:f>
        <x:v>1</x:v>
      </x:c>
      <x:c r="S186" s="16" t="n">
        <x:f>IF(L186=L386,1,0)</x:f>
        <x:v>1</x:v>
      </x:c>
      <x:c r="T186" s="16" t="n">
        <x:f>IF(SUM(P186:S186)=4,1,0)</x:f>
        <x:v>1</x:v>
      </x:c>
    </x:row>
    <x:row r="187" ht="40" customHeight="1">
      <x:c r="A187" s="16" t="n">
        <x:v>91</x:v>
      </x:c>
      <x:c r="B187" s="2" t="str">
        <x:v>Q669749_P364_2</x:v>
      </x:c>
      <x:c r="C187" s="21" t="str">
        <x:v>Name the original language or languages of The Song of Bernadette.</x:v>
      </x:c>
      <x:c r="D187" s="21" t="str">
        <x:v>The original languages of The Song of Bernadette are English. || The Song of Bernadette was originally made in English.</x:v>
      </x:c>
      <x:c r="E187" s="16" t="n">
        <x:v>2</x:v>
      </x:c>
      <x:c r="F187" s="21" t="str">
        <x:v>The original languages of The Song of Bernadette are English.</x:v>
      </x:c>
      <x:c r="G187" s="2" t="str">
        <x:v>B0</x:v>
      </x:c>
      <x:c r="H187" s="2" t="str">
        <x:v>自动评审01</x:v>
      </x:c>
      <x:c r="I187" s="16" t="n">
        <x:v>2</x:v>
      </x:c>
      <x:c r="J187" s="16" t="n">
        <x:v>2</x:v>
      </x:c>
      <x:c r="K187" s="16" t="n">
        <x:v>4</x:v>
      </x:c>
      <x:c r="L187" s="16" t="n">
        <x:v>0</x:v>
      </x:c>
      <x:c r="M187" s="21" t="str">
        <x:v>英语完整覆盖参考语言，无新增内容；单项语言对应复数 languages 略不自然。</x:v>
      </x:c>
      <x:c r="N187" s="2" t="str">
        <x:v>gpt-6.1-sol</x:v>
      </x:c>
      <x:c r="O187" s="2" t="str">
        <x:v>ultra</x:v>
      </x:c>
      <x:c r="P187" s="16" t="n">
        <x:f>IF(I187=I387,1,0)</x:f>
        <x:v>1</x:v>
      </x:c>
      <x:c r="Q187" s="16" t="n">
        <x:f>IF(J187=J387,1,0)</x:f>
        <x:v>1</x:v>
      </x:c>
      <x:c r="R187" s="16" t="n">
        <x:f>IF(K187=K387,1,0)</x:f>
        <x:v>1</x:v>
      </x:c>
      <x:c r="S187" s="16" t="n">
        <x:f>IF(L187=L387,1,0)</x:f>
        <x:v>1</x:v>
      </x:c>
      <x:c r="T187" s="16" t="n">
        <x:f>IF(SUM(P187:S187)=4,1,0)</x:f>
        <x:v>1</x:v>
      </x:c>
    </x:row>
    <x:row r="188" ht="54" customHeight="1">
      <x:c r="A188" s="16" t="n">
        <x:v>92</x:v>
      </x:c>
      <x:c r="B188" s="2" t="str">
        <x:v>Q153677_P136_0</x:v>
      </x:c>
      <x:c r="C188" s="21" t="str">
        <x:v>What genre is For a Few Dollars More?</x:v>
      </x:c>
      <x:c r="D188" s="21" t="str">
        <x:v>For a Few Dollars More belongs to the following genres: Western film, action film and Spaghetti Western. || The genres of For a Few Dollars More are Western film, action film and Spaghetti Western.</x:v>
      </x:c>
      <x:c r="E188" s="16" t="n">
        <x:v>1</x:v>
      </x:c>
      <x:c r="F188" s="21" t="str">
        <x:v>For a Few Dollars More belongs to the following genres: Western film, action film and Spaghetti Western.</x:v>
      </x:c>
      <x:c r="G188" s="2" t="str">
        <x:v>A0</x:v>
      </x:c>
      <x:c r="H188" s="2" t="str">
        <x:v>自动评审01</x:v>
      </x:c>
      <x:c r="I188" s="16" t="n">
        <x:v>2</x:v>
      </x:c>
      <x:c r="J188" s="16" t="n">
        <x:v>2</x:v>
      </x:c>
      <x:c r="K188" s="16" t="n">
        <x:v>5</x:v>
      </x:c>
      <x:c r="L188" s="16" t="n">
        <x:v>0</x:v>
      </x:c>
      <x:c r="M188" s="21" t="str">
        <x:v>西部片、动作片和意大利西部片三项均符合参考，信息完整，列举流畅。</x:v>
      </x:c>
      <x:c r="N188" s="2" t="str">
        <x:v>gpt-6.1-sol</x:v>
      </x:c>
      <x:c r="O188" s="2" t="str">
        <x:v>ultra</x:v>
      </x:c>
      <x:c r="P188" s="16" t="n">
        <x:f>IF(I188=I388,1,0)</x:f>
        <x:v>1</x:v>
      </x:c>
      <x:c r="Q188" s="16" t="n">
        <x:f>IF(J188=J388,1,0)</x:f>
        <x:v>1</x:v>
      </x:c>
      <x:c r="R188" s="16" t="n">
        <x:f>IF(K188=K388,1,0)</x:f>
        <x:v>1</x:v>
      </x:c>
      <x:c r="S188" s="16" t="n">
        <x:f>IF(L188=L388,1,0)</x:f>
        <x:v>1</x:v>
      </x:c>
      <x:c r="T188" s="16" t="n">
        <x:f>IF(SUM(P188:S188)=4,1,0)</x:f>
        <x:v>1</x:v>
      </x:c>
    </x:row>
    <x:row r="189" ht="54" customHeight="1">
      <x:c r="A189" s="16" t="n">
        <x:v>92</x:v>
      </x:c>
      <x:c r="B189" s="2" t="str">
        <x:v>Q153677_P136_0</x:v>
      </x:c>
      <x:c r="C189" s="21" t="str">
        <x:v>What genre is For a Few Dollars More?</x:v>
      </x:c>
      <x:c r="D189" s="21" t="str">
        <x:v>For a Few Dollars More belongs to the following genres: Western film, action film and Spaghetti Western. || The genres of For a Few Dollars More are Western film, action film and Spaghetti Western.</x:v>
      </x:c>
      <x:c r="E189" s="16" t="n">
        <x:v>2</x:v>
      </x:c>
      <x:c r="F189" s="21" t="str">
        <x:v>For a Few Dollars More belongs to the following genres: Western film, action film and Spaghetti Western.</x:v>
      </x:c>
      <x:c r="G189" s="2" t="str">
        <x:v>B0</x:v>
      </x:c>
      <x:c r="H189" s="2" t="str">
        <x:v>自动评审01</x:v>
      </x:c>
      <x:c r="I189" s="16" t="n">
        <x:v>2</x:v>
      </x:c>
      <x:c r="J189" s="16" t="n">
        <x:v>2</x:v>
      </x:c>
      <x:c r="K189" s="16" t="n">
        <x:v>5</x:v>
      </x:c>
      <x:c r="L189" s="16" t="n">
        <x:v>0</x:v>
      </x:c>
      <x:c r="M189" s="21" t="str">
        <x:v>For a Few Dollars More 的 Western film、action film、Spaghetti Western 正确齐全，无新类型。</x:v>
      </x:c>
      <x:c r="N189" s="2" t="str">
        <x:v>gpt-6.1-sol</x:v>
      </x:c>
      <x:c r="O189" s="2" t="str">
        <x:v>ultra</x:v>
      </x:c>
      <x:c r="P189" s="16" t="n">
        <x:f>IF(I189=I389,1,0)</x:f>
        <x:v>1</x:v>
      </x:c>
      <x:c r="Q189" s="16" t="n">
        <x:f>IF(J189=J389,1,0)</x:f>
        <x:v>1</x:v>
      </x:c>
      <x:c r="R189" s="16" t="n">
        <x:f>IF(K189=K389,1,0)</x:f>
        <x:v>1</x:v>
      </x:c>
      <x:c r="S189" s="16" t="n">
        <x:f>IF(L189=L389,1,0)</x:f>
        <x:v>1</x:v>
      </x:c>
      <x:c r="T189" s="16" t="n">
        <x:f>IF(SUM(P189:S189)=4,1,0)</x:f>
        <x:v>1</x:v>
      </x:c>
    </x:row>
    <x:row r="190" ht="40" customHeight="1">
      <x:c r="A190" s="16" t="n">
        <x:v>93</x:v>
      </x:c>
      <x:c r="B190" s="2" t="str">
        <x:v>Q1058555_P495_0</x:v>
      </x:c>
      <x:c r="C190" s="21" t="str">
        <x:v>Which country did Lorenzo's Oil originate in?</x:v>
      </x:c>
      <x:c r="D190" s="21" t="str">
        <x:v>Lorenzo's Oil originated in United States. || The countries of origin of Lorenzo's Oil are United States.</x:v>
      </x:c>
      <x:c r="E190" s="16" t="n">
        <x:v>1</x:v>
      </x:c>
      <x:c r="F190" s="21" t="str">
        <x:v>Lorenzo's Oil originated in United States.</x:v>
      </x:c>
      <x:c r="G190" s="2" t="str">
        <x:v>B0</x:v>
      </x:c>
      <x:c r="H190" s="2" t="str">
        <x:v>自动评审01</x:v>
      </x:c>
      <x:c r="I190" s="16" t="n">
        <x:v>2</x:v>
      </x:c>
      <x:c r="J190" s="16" t="n">
        <x:v>2</x:v>
      </x:c>
      <x:c r="K190" s="16" t="n">
        <x:v>4</x:v>
      </x:c>
      <x:c r="L190" s="16" t="n">
        <x:v>0</x:v>
      </x:c>
      <x:c r="M190" s="21" t="str">
        <x:v>Lorenzo's Oil 的美国来源正确完整；United States 前缺少 the。</x:v>
      </x:c>
      <x:c r="N190" s="2" t="str">
        <x:v>gpt-6.1-sol</x:v>
      </x:c>
      <x:c r="O190" s="2" t="str">
        <x:v>ultra</x:v>
      </x:c>
      <x:c r="P190" s="16" t="n">
        <x:f>IF(I190=I390,1,0)</x:f>
        <x:v>1</x:v>
      </x:c>
      <x:c r="Q190" s="16" t="n">
        <x:f>IF(J190=J390,1,0)</x:f>
        <x:v>1</x:v>
      </x:c>
      <x:c r="R190" s="16" t="n">
        <x:f>IF(K190=K390,1,0)</x:f>
        <x:v>1</x:v>
      </x:c>
      <x:c r="S190" s="16" t="n">
        <x:f>IF(L190=L390,1,0)</x:f>
        <x:v>1</x:v>
      </x:c>
      <x:c r="T190" s="16" t="n">
        <x:f>IF(SUM(P190:S190)=4,1,0)</x:f>
        <x:v>1</x:v>
      </x:c>
    </x:row>
    <x:row r="191" ht="40" customHeight="1">
      <x:c r="A191" s="16" t="n">
        <x:v>93</x:v>
      </x:c>
      <x:c r="B191" s="2" t="str">
        <x:v>Q1058555_P495_0</x:v>
      </x:c>
      <x:c r="C191" s="21" t="str">
        <x:v>Which country did Lorenzo's Oil originate in?</x:v>
      </x:c>
      <x:c r="D191" s="21" t="str">
        <x:v>Lorenzo's Oil originated in United States. || The countries of origin of Lorenzo's Oil are United States.</x:v>
      </x:c>
      <x:c r="E191" s="16" t="n">
        <x:v>2</x:v>
      </x:c>
      <x:c r="F191" s="21" t="str">
        <x:v>Lorenzo's Oil originated in United States.</x:v>
      </x:c>
      <x:c r="G191" s="2" t="str">
        <x:v>A0</x:v>
      </x:c>
      <x:c r="H191" s="2" t="str">
        <x:v>自动评审01</x:v>
      </x:c>
      <x:c r="I191" s="16" t="n">
        <x:v>2</x:v>
      </x:c>
      <x:c r="J191" s="16" t="n">
        <x:v>2</x:v>
      </x:c>
      <x:c r="K191" s="16" t="n">
        <x:v>4</x:v>
      </x:c>
      <x:c r="L191" s="16" t="n">
        <x:v>0</x:v>
      </x:c>
      <x:c r="M191" s="21" t="str">
        <x:v>美国为参考唯一产地，回答无遗漏；in United States 漏定冠词，含义仍清楚。</x:v>
      </x:c>
      <x:c r="N191" s="2" t="str">
        <x:v>gpt-6.1-sol</x:v>
      </x:c>
      <x:c r="O191" s="2" t="str">
        <x:v>ultra</x:v>
      </x:c>
      <x:c r="P191" s="16" t="n">
        <x:f>IF(I191=I391,1,0)</x:f>
        <x:v>1</x:v>
      </x:c>
      <x:c r="Q191" s="16" t="n">
        <x:f>IF(J191=J391,1,0)</x:f>
        <x:v>1</x:v>
      </x:c>
      <x:c r="R191" s="16" t="n">
        <x:f>IF(K191=K391,1,0)</x:f>
        <x:v>1</x:v>
      </x:c>
      <x:c r="S191" s="16" t="n">
        <x:f>IF(L191=L391,1,0)</x:f>
        <x:v>1</x:v>
      </x:c>
      <x:c r="T191" s="16" t="n">
        <x:f>IF(SUM(P191:S191)=4,1,0)</x:f>
        <x:v>1</x:v>
      </x:c>
    </x:row>
    <x:row r="192" ht="40" customHeight="1">
      <x:c r="A192" s="16" t="n">
        <x:v>94</x:v>
      </x:c>
      <x:c r="B192" s="2" t="str">
        <x:v>Q1163081_P364_2</x:v>
      </x:c>
      <x:c r="C192" s="21" t="str">
        <x:v>Name the original language or languages of Money Train.</x:v>
      </x:c>
      <x:c r="D192" s="21" t="str">
        <x:v>The original languages of Money Train are English. || Money Train was originally made in English.</x:v>
      </x:c>
      <x:c r="E192" s="16" t="n">
        <x:v>1</x:v>
      </x:c>
      <x:c r="F192" s="21" t="str">
        <x:v>The original languages of Money Train are English.</x:v>
      </x:c>
      <x:c r="G192" s="2" t="str">
        <x:v>B0</x:v>
      </x:c>
      <x:c r="H192" s="2" t="str">
        <x:v>自动评审01</x:v>
      </x:c>
      <x:c r="I192" s="16" t="n">
        <x:v>2</x:v>
      </x:c>
      <x:c r="J192" s="16" t="n">
        <x:v>2</x:v>
      </x:c>
      <x:c r="K192" s="16" t="n">
        <x:v>4</x:v>
      </x:c>
      <x:c r="L192" s="16" t="n">
        <x:v>0</x:v>
      </x:c>
      <x:c r="M192" s="21" t="str">
        <x:v>Money Train 的英语原始语言完整正确；仅一门语言却用 languages are，措辞略生硬。</x:v>
      </x:c>
      <x:c r="N192" s="2" t="str">
        <x:v>gpt-6.1-sol</x:v>
      </x:c>
      <x:c r="O192" s="2" t="str">
        <x:v>ultra</x:v>
      </x:c>
      <x:c r="P192" s="16" t="n">
        <x:f>IF(I192=I392,1,0)</x:f>
        <x:v>1</x:v>
      </x:c>
      <x:c r="Q192" s="16" t="n">
        <x:f>IF(J192=J392,1,0)</x:f>
        <x:v>1</x:v>
      </x:c>
      <x:c r="R192" s="16" t="n">
        <x:f>IF(K192=K392,1,0)</x:f>
        <x:v>1</x:v>
      </x:c>
      <x:c r="S192" s="16" t="n">
        <x:f>IF(L192=L392,1,0)</x:f>
        <x:v>1</x:v>
      </x:c>
      <x:c r="T192" s="16" t="n">
        <x:f>IF(SUM(P192:S192)=4,1,0)</x:f>
        <x:v>1</x:v>
      </x:c>
    </x:row>
    <x:row r="193" ht="40" customHeight="1">
      <x:c r="A193" s="16" t="n">
        <x:v>94</x:v>
      </x:c>
      <x:c r="B193" s="2" t="str">
        <x:v>Q1163081_P364_2</x:v>
      </x:c>
      <x:c r="C193" s="21" t="str">
        <x:v>Name the original language or languages of Money Train.</x:v>
      </x:c>
      <x:c r="D193" s="21" t="str">
        <x:v>The original languages of Money Train are English. || Money Train was originally made in English.</x:v>
      </x:c>
      <x:c r="E193" s="16" t="n">
        <x:v>2</x:v>
      </x:c>
      <x:c r="F193" s="21" t="str">
        <x:v>The original languages of Money Train are English.</x:v>
      </x:c>
      <x:c r="G193" s="2" t="str">
        <x:v>A0</x:v>
      </x:c>
      <x:c r="H193" s="2" t="str">
        <x:v>自动评审01</x:v>
      </x:c>
      <x:c r="I193" s="16" t="n">
        <x:v>2</x:v>
      </x:c>
      <x:c r="J193" s="16" t="n">
        <x:v>2</x:v>
      </x:c>
      <x:c r="K193" s="16" t="n">
        <x:v>4</x:v>
      </x:c>
      <x:c r="L193" s="16" t="n">
        <x:v>0</x:v>
      </x:c>
      <x:c r="M193" s="21" t="str">
        <x:v>English 是全部参考语言，答案齐全无扩展；单项列表用复数 languages 稍不自然。</x:v>
      </x:c>
      <x:c r="N193" s="2" t="str">
        <x:v>gpt-6.1-sol</x:v>
      </x:c>
      <x:c r="O193" s="2" t="str">
        <x:v>ultra</x:v>
      </x:c>
      <x:c r="P193" s="16" t="n">
        <x:f>IF(I193=I393,1,0)</x:f>
        <x:v>1</x:v>
      </x:c>
      <x:c r="Q193" s="16" t="n">
        <x:f>IF(J193=J393,1,0)</x:f>
        <x:v>1</x:v>
      </x:c>
      <x:c r="R193" s="16" t="n">
        <x:f>IF(K193=K393,1,0)</x:f>
        <x:v>1</x:v>
      </x:c>
      <x:c r="S193" s="16" t="n">
        <x:f>IF(L193=L393,1,0)</x:f>
        <x:v>1</x:v>
      </x:c>
      <x:c r="T193" s="16" t="n">
        <x:f>IF(SUM(P193:S193)=4,1,0)</x:f>
        <x:v>1</x:v>
      </x:c>
    </x:row>
    <x:row r="194" ht="40" customHeight="1">
      <x:c r="A194" s="16" t="n">
        <x:v>95</x:v>
      </x:c>
      <x:c r="B194" s="2" t="str">
        <x:v>Q60795735_P57_1</x:v>
      </x:c>
      <x:c r="C194" s="21" t="str">
        <x:v>Who was the director of Leaving Neverland?</x:v>
      </x:c>
      <x:c r="D194" s="21" t="str">
        <x:v>Leaving Neverland was directed by Dan Reed. || The director or directors of Leaving Neverland are Dan Reed.</x:v>
      </x:c>
      <x:c r="E194" s="16" t="n">
        <x:v>1</x:v>
      </x:c>
      <x:c r="F194" s="21" t="str">
        <x:v>Leaving Neverland was directed by Dan Reed.</x:v>
      </x:c>
      <x:c r="G194" s="2" t="str">
        <x:v>A0</x:v>
      </x:c>
      <x:c r="H194" s="2" t="str">
        <x:v>自动评审01</x:v>
      </x:c>
      <x:c r="I194" s="16" t="n">
        <x:v>2</x:v>
      </x:c>
      <x:c r="J194" s="16" t="n">
        <x:v>2</x:v>
      </x:c>
      <x:c r="K194" s="16" t="n">
        <x:v>5</x:v>
      </x:c>
      <x:c r="L194" s="16" t="n">
        <x:v>0</x:v>
      </x:c>
      <x:c r="M194" s="21" t="str">
        <x:v>Leaving Neverland 的导演 Dan Reed 正确且完整，电影与人物关系清楚，英语自然。</x:v>
      </x:c>
      <x:c r="N194" s="2" t="str">
        <x:v>gpt-6.1-sol</x:v>
      </x:c>
      <x:c r="O194" s="2" t="str">
        <x:v>ultra</x:v>
      </x:c>
      <x:c r="P194" s="16" t="n">
        <x:f>IF(I194=I394,1,0)</x:f>
        <x:v>1</x:v>
      </x:c>
      <x:c r="Q194" s="16" t="n">
        <x:f>IF(J194=J394,1,0)</x:f>
        <x:v>1</x:v>
      </x:c>
      <x:c r="R194" s="16" t="n">
        <x:f>IF(K194=K394,1,0)</x:f>
        <x:v>1</x:v>
      </x:c>
      <x:c r="S194" s="16" t="n">
        <x:f>IF(L194=L394,1,0)</x:f>
        <x:v>1</x:v>
      </x:c>
      <x:c r="T194" s="16" t="n">
        <x:f>IF(SUM(P194:S194)=4,1,0)</x:f>
        <x:v>1</x:v>
      </x:c>
    </x:row>
    <x:row r="195" ht="40" customHeight="1">
      <x:c r="A195" s="16" t="n">
        <x:v>95</x:v>
      </x:c>
      <x:c r="B195" s="2" t="str">
        <x:v>Q60795735_P57_1</x:v>
      </x:c>
      <x:c r="C195" s="21" t="str">
        <x:v>Who was the director of Leaving Neverland?</x:v>
      </x:c>
      <x:c r="D195" s="21" t="str">
        <x:v>Leaving Neverland was directed by Dan Reed. || The director or directors of Leaving Neverland are Dan Reed.</x:v>
      </x:c>
      <x:c r="E195" s="16" t="n">
        <x:v>2</x:v>
      </x:c>
      <x:c r="F195" s="21" t="str">
        <x:v>Leaving Neverland was directed by Dan Reed.</x:v>
      </x:c>
      <x:c r="G195" s="2" t="str">
        <x:v>B0</x:v>
      </x:c>
      <x:c r="H195" s="2" t="str">
        <x:v>自动评审01</x:v>
      </x:c>
      <x:c r="I195" s="16" t="n">
        <x:v>2</x:v>
      </x:c>
      <x:c r="J195" s="16" t="n">
        <x:v>2</x:v>
      </x:c>
      <x:c r="K195" s="16" t="n">
        <x:v>5</x:v>
      </x:c>
      <x:c r="L195" s="16" t="n">
        <x:v>0</x:v>
      </x:c>
      <x:c r="M195" s="21" t="str">
        <x:v>Dan Reed 与参考导演相符，未增加其他属性，被动句完整流畅。</x:v>
      </x:c>
      <x:c r="N195" s="2" t="str">
        <x:v>gpt-6.1-sol</x:v>
      </x:c>
      <x:c r="O195" s="2" t="str">
        <x:v>ultra</x:v>
      </x:c>
      <x:c r="P195" s="16" t="n">
        <x:f>IF(I195=I395,1,0)</x:f>
        <x:v>1</x:v>
      </x:c>
      <x:c r="Q195" s="16" t="n">
        <x:f>IF(J195=J395,1,0)</x:f>
        <x:v>1</x:v>
      </x:c>
      <x:c r="R195" s="16" t="n">
        <x:f>IF(K195=K395,1,0)</x:f>
        <x:v>1</x:v>
      </x:c>
      <x:c r="S195" s="16" t="n">
        <x:f>IF(L195=L395,1,0)</x:f>
        <x:v>1</x:v>
      </x:c>
      <x:c r="T195" s="16" t="n">
        <x:f>IF(SUM(P195:S195)=4,1,0)</x:f>
        <x:v>1</x:v>
      </x:c>
    </x:row>
    <x:row r="196" ht="40" customHeight="1">
      <x:c r="A196" s="16" t="n">
        <x:v>96</x:v>
      </x:c>
      <x:c r="B196" s="2" t="str">
        <x:v>Q61953_P495_2</x:v>
      </x:c>
      <x:c r="C196" s="21" t="str">
        <x:v>Name the countries of origin of Konikar Ramdhenu.</x:v>
      </x:c>
      <x:c r="D196" s="21" t="str">
        <x:v>Konikar Ramdhenu originated in India. || The countries of origin of Konikar Ramdhenu are India.</x:v>
      </x:c>
      <x:c r="E196" s="16" t="n">
        <x:v>1</x:v>
      </x:c>
      <x:c r="F196" s="21" t="str">
        <x:v>Konikar Ramdhenu originated in India.</x:v>
      </x:c>
      <x:c r="G196" s="2" t="str">
        <x:v>A0</x:v>
      </x:c>
      <x:c r="H196" s="2" t="str">
        <x:v>自动评审01</x:v>
      </x:c>
      <x:c r="I196" s="16" t="n">
        <x:v>2</x:v>
      </x:c>
      <x:c r="J196" s="16" t="n">
        <x:v>2</x:v>
      </x:c>
      <x:c r="K196" s="16" t="n">
        <x:v>5</x:v>
      </x:c>
      <x:c r="L196" s="16" t="n">
        <x:v>0</x:v>
      </x:c>
      <x:c r="M196" s="21" t="str">
        <x:v>Konikar Ramdhenu 的产地 India 正确完整，国名和介词用法自然，无新增国家。</x:v>
      </x:c>
      <x:c r="N196" s="2" t="str">
        <x:v>gpt-6.1-sol</x:v>
      </x:c>
      <x:c r="O196" s="2" t="str">
        <x:v>ultra</x:v>
      </x:c>
      <x:c r="P196" s="16" t="n">
        <x:f>IF(I196=I396,1,0)</x:f>
        <x:v>1</x:v>
      </x:c>
      <x:c r="Q196" s="16" t="n">
        <x:f>IF(J196=J396,1,0)</x:f>
        <x:v>1</x:v>
      </x:c>
      <x:c r="R196" s="16" t="n">
        <x:f>IF(K196=K396,1,0)</x:f>
        <x:v>1</x:v>
      </x:c>
      <x:c r="S196" s="16" t="n">
        <x:f>IF(L196=L396,1,0)</x:f>
        <x:v>1</x:v>
      </x:c>
      <x:c r="T196" s="16" t="n">
        <x:f>IF(SUM(P196:S196)=4,1,0)</x:f>
        <x:v>1</x:v>
      </x:c>
    </x:row>
    <x:row r="197" ht="40" customHeight="1">
      <x:c r="A197" s="16" t="n">
        <x:v>96</x:v>
      </x:c>
      <x:c r="B197" s="2" t="str">
        <x:v>Q61953_P495_2</x:v>
      </x:c>
      <x:c r="C197" s="21" t="str">
        <x:v>Name the countries of origin of Konikar Ramdhenu.</x:v>
      </x:c>
      <x:c r="D197" s="21" t="str">
        <x:v>Konikar Ramdhenu originated in India. || The countries of origin of Konikar Ramdhenu are India.</x:v>
      </x:c>
      <x:c r="E197" s="16" t="n">
        <x:v>2</x:v>
      </x:c>
      <x:c r="F197" s="21" t="str">
        <x:v>Konikar Ramdhenu originated in India.</x:v>
      </x:c>
      <x:c r="G197" s="2" t="str">
        <x:v>B0</x:v>
      </x:c>
      <x:c r="H197" s="2" t="str">
        <x:v>自动评审01</x:v>
      </x:c>
      <x:c r="I197" s="16" t="n">
        <x:v>2</x:v>
      </x:c>
      <x:c r="J197" s="16" t="n">
        <x:v>2</x:v>
      </x:c>
      <x:c r="K197" s="16" t="n">
        <x:v>5</x:v>
      </x:c>
      <x:c r="L197" s="16" t="n">
        <x:v>0</x:v>
      </x:c>
      <x:c r="M197" s="21" t="str">
        <x:v>印度这一唯一来源国家符合参考，句子完整清晰，所问信息齐全。</x:v>
      </x:c>
      <x:c r="N197" s="2" t="str">
        <x:v>gpt-6.1-sol</x:v>
      </x:c>
      <x:c r="O197" s="2" t="str">
        <x:v>ultra</x:v>
      </x:c>
      <x:c r="P197" s="16" t="n">
        <x:f>IF(I197=I397,1,0)</x:f>
        <x:v>1</x:v>
      </x:c>
      <x:c r="Q197" s="16" t="n">
        <x:f>IF(J197=J397,1,0)</x:f>
        <x:v>1</x:v>
      </x:c>
      <x:c r="R197" s="16" t="n">
        <x:f>IF(K197=K397,1,0)</x:f>
        <x:v>1</x:v>
      </x:c>
      <x:c r="S197" s="16" t="n">
        <x:f>IF(L197=L397,1,0)</x:f>
        <x:v>1</x:v>
      </x:c>
      <x:c r="T197" s="16" t="n">
        <x:f>IF(SUM(P197:S197)=4,1,0)</x:f>
        <x:v>1</x:v>
      </x:c>
    </x:row>
    <x:row r="198" ht="40" customHeight="1">
      <x:c r="A198" s="16" t="n">
        <x:v>97</x:v>
      </x:c>
      <x:c r="B198" s="2" t="str">
        <x:v>Q27178_P136_0</x:v>
      </x:c>
      <x:c r="C198" s="21" t="str">
        <x:v>What genre is Hamlet?</x:v>
      </x:c>
      <x:c r="D198" s="21" t="str">
        <x:v>Hamlet belongs to the following genres: drama film. || The genres of Hamlet are drama film.</x:v>
      </x:c>
      <x:c r="E198" s="16" t="n">
        <x:v>1</x:v>
      </x:c>
      <x:c r="F198" s="21" t="str">
        <x:v>Hamlet belongs to the following genres: drama film.</x:v>
      </x:c>
      <x:c r="G198" s="2" t="str">
        <x:v>A0</x:v>
      </x:c>
      <x:c r="H198" s="2" t="str">
        <x:v>自动评审01</x:v>
      </x:c>
      <x:c r="I198" s="16" t="n">
        <x:v>2</x:v>
      </x:c>
      <x:c r="J198" s="16" t="n">
        <x:v>2</x:v>
      </x:c>
      <x:c r="K198" s="16" t="n">
        <x:v>4</x:v>
      </x:c>
      <x:c r="L198" s="16" t="n">
        <x:v>0</x:v>
      </x:c>
      <x:c r="M198" s="21" t="str">
        <x:v>Hamlet 的剧情片类型正确完整；只有一类却用 following genres，复数措辞略生硬。</x:v>
      </x:c>
      <x:c r="N198" s="2" t="str">
        <x:v>gpt-6.1-sol</x:v>
      </x:c>
      <x:c r="O198" s="2" t="str">
        <x:v>ultra</x:v>
      </x:c>
      <x:c r="P198" s="16" t="n">
        <x:f>IF(I198=I398,1,0)</x:f>
        <x:v>1</x:v>
      </x:c>
      <x:c r="Q198" s="16" t="n">
        <x:f>IF(J198=J398,1,0)</x:f>
        <x:v>1</x:v>
      </x:c>
      <x:c r="R198" s="16" t="n">
        <x:f>IF(K198=K398,1,0)</x:f>
        <x:v>1</x:v>
      </x:c>
      <x:c r="S198" s="16" t="n">
        <x:f>IF(L198=L398,1,0)</x:f>
        <x:v>1</x:v>
      </x:c>
      <x:c r="T198" s="16" t="n">
        <x:f>IF(SUM(P198:S198)=4,1,0)</x:f>
        <x:v>1</x:v>
      </x:c>
    </x:row>
    <x:row r="199" ht="40" customHeight="1">
      <x:c r="A199" s="16" t="n">
        <x:v>97</x:v>
      </x:c>
      <x:c r="B199" s="2" t="str">
        <x:v>Q27178_P136_0</x:v>
      </x:c>
      <x:c r="C199" s="21" t="str">
        <x:v>What genre is Hamlet?</x:v>
      </x:c>
      <x:c r="D199" s="21" t="str">
        <x:v>Hamlet belongs to the following genres: drama film. || The genres of Hamlet are drama film.</x:v>
      </x:c>
      <x:c r="E199" s="16" t="n">
        <x:v>2</x:v>
      </x:c>
      <x:c r="F199" s="21" t="str">
        <x:v>Hamlet belongs to the following genres: drama film.</x:v>
      </x:c>
      <x:c r="G199" s="2" t="str">
        <x:v>B0</x:v>
      </x:c>
      <x:c r="H199" s="2" t="str">
        <x:v>自动评审01</x:v>
      </x:c>
      <x:c r="I199" s="16" t="n">
        <x:v>2</x:v>
      </x:c>
      <x:c r="J199" s="16" t="n">
        <x:v>2</x:v>
      </x:c>
      <x:c r="K199" s="16" t="n">
        <x:v>4</x:v>
      </x:c>
      <x:c r="L199" s="16" t="n">
        <x:v>0</x:v>
      </x:c>
      <x:c r="M199" s="21" t="str">
        <x:v>drama film 是本题全部参考类型，未加其他类型；单项列表使用 genres 稍不自然。</x:v>
      </x:c>
      <x:c r="N199" s="2" t="str">
        <x:v>gpt-6.1-sol</x:v>
      </x:c>
      <x:c r="O199" s="2" t="str">
        <x:v>ultra</x:v>
      </x:c>
      <x:c r="P199" s="16" t="n">
        <x:f>IF(I199=I399,1,0)</x:f>
        <x:v>1</x:v>
      </x:c>
      <x:c r="Q199" s="16" t="n">
        <x:f>IF(J199=J399,1,0)</x:f>
        <x:v>1</x:v>
      </x:c>
      <x:c r="R199" s="16" t="n">
        <x:f>IF(K199=K399,1,0)</x:f>
        <x:v>1</x:v>
      </x:c>
      <x:c r="S199" s="16" t="n">
        <x:f>IF(L199=L399,1,0)</x:f>
        <x:v>1</x:v>
      </x:c>
      <x:c r="T199" s="16" t="n">
        <x:f>IF(SUM(P199:S199)=4,1,0)</x:f>
        <x:v>1</x:v>
      </x:c>
    </x:row>
    <x:row r="200" ht="40" customHeight="1">
      <x:c r="A200" s="16" t="n">
        <x:v>98</x:v>
      </x:c>
      <x:c r="B200" s="2" t="str">
        <x:v>Q1637811_P57_1</x:v>
      </x:c>
      <x:c r="C200" s="21" t="str">
        <x:v>Who was the director of Hunger?</x:v>
      </x:c>
      <x:c r="D200" s="21" t="str">
        <x:v>Hunger was directed by Steve McQueen. || The director or directors of Hunger are Steve McQueen.</x:v>
      </x:c>
      <x:c r="E200" s="16" t="n">
        <x:v>1</x:v>
      </x:c>
      <x:c r="F200" s="21" t="str">
        <x:v>Hunger was directed by Steve McQueen.</x:v>
      </x:c>
      <x:c r="G200" s="2" t="str">
        <x:v>B0</x:v>
      </x:c>
      <x:c r="H200" s="2" t="str">
        <x:v>自动评审01</x:v>
      </x:c>
      <x:c r="I200" s="16" t="n">
        <x:v>2</x:v>
      </x:c>
      <x:c r="J200" s="16" t="n">
        <x:v>2</x:v>
      </x:c>
      <x:c r="K200" s="16" t="n">
        <x:v>5</x:v>
      </x:c>
      <x:c r="L200" s="16" t="n">
        <x:v>0</x:v>
      </x:c>
      <x:c r="M200" s="21" t="str">
        <x:v>Hunger 的导演 Steve McQueen 与参考一致，人物及关系完整，英语自然。</x:v>
      </x:c>
      <x:c r="N200" s="2" t="str">
        <x:v>gpt-6.1-sol</x:v>
      </x:c>
      <x:c r="O200" s="2" t="str">
        <x:v>ultra</x:v>
      </x:c>
      <x:c r="P200" s="16" t="n">
        <x:f>IF(I200=I400,1,0)</x:f>
        <x:v>1</x:v>
      </x:c>
      <x:c r="Q200" s="16" t="n">
        <x:f>IF(J200=J400,1,0)</x:f>
        <x:v>1</x:v>
      </x:c>
      <x:c r="R200" s="16" t="n">
        <x:f>IF(K200=K400,1,0)</x:f>
        <x:v>1</x:v>
      </x:c>
      <x:c r="S200" s="16" t="n">
        <x:f>IF(L200=L400,1,0)</x:f>
        <x:v>1</x:v>
      </x:c>
      <x:c r="T200" s="16" t="n">
        <x:f>IF(SUM(P200:S200)=4,1,0)</x:f>
        <x:v>1</x:v>
      </x:c>
    </x:row>
    <x:row r="201" ht="40" customHeight="1">
      <x:c r="A201" s="16" t="n">
        <x:v>98</x:v>
      </x:c>
      <x:c r="B201" s="2" t="str">
        <x:v>Q1637811_P57_1</x:v>
      </x:c>
      <x:c r="C201" s="21" t="str">
        <x:v>Who was the director of Hunger?</x:v>
      </x:c>
      <x:c r="D201" s="21" t="str">
        <x:v>Hunger was directed by Steve McQueen. || The director or directors of Hunger are Steve McQueen.</x:v>
      </x:c>
      <x:c r="E201" s="16" t="n">
        <x:v>2</x:v>
      </x:c>
      <x:c r="F201" s="21" t="str">
        <x:v>Hunger was directed by Steve McQueen.</x:v>
      </x:c>
      <x:c r="G201" s="2" t="str">
        <x:v>A0</x:v>
      </x:c>
      <x:c r="H201" s="2" t="str">
        <x:v>自动评审01</x:v>
      </x:c>
      <x:c r="I201" s="16" t="n">
        <x:v>2</x:v>
      </x:c>
      <x:c r="J201" s="16" t="n">
        <x:v>2</x:v>
      </x:c>
      <x:c r="K201" s="16" t="n">
        <x:v>5</x:v>
      </x:c>
      <x:c r="L201" s="16" t="n">
        <x:v>0</x:v>
      </x:c>
      <x:c r="M201" s="21" t="str">
        <x:v>正确给出 Steve McQueen 执导 Hunger，无遗漏或额外断言，句子流畅。</x:v>
      </x:c>
      <x:c r="N201" s="2" t="str">
        <x:v>gpt-6.1-sol</x:v>
      </x:c>
      <x:c r="O201" s="2" t="str">
        <x:v>ultra</x:v>
      </x:c>
      <x:c r="P201" s="16" t="n">
        <x:f>IF(I201=I401,1,0)</x:f>
        <x:v>1</x:v>
      </x:c>
      <x:c r="Q201" s="16" t="n">
        <x:f>IF(J201=J401,1,0)</x:f>
        <x:v>1</x:v>
      </x:c>
      <x:c r="R201" s="16" t="n">
        <x:f>IF(K201=K401,1,0)</x:f>
        <x:v>1</x:v>
      </x:c>
      <x:c r="S201" s="16" t="n">
        <x:f>IF(L201=L401,1,0)</x:f>
        <x:v>1</x:v>
      </x:c>
      <x:c r="T201" s="16" t="n">
        <x:f>IF(SUM(P201:S201)=4,1,0)</x:f>
        <x:v>1</x:v>
      </x:c>
    </x:row>
    <x:row r="202" ht="40" customHeight="1">
      <x:c r="A202" s="16" t="n">
        <x:v>99</x:v>
      </x:c>
      <x:c r="B202" s="2" t="str">
        <x:v>Q27894574_P364_1</x:v>
      </x:c>
      <x:c r="C202" s="21" t="str">
        <x:v>Which languages was Bohemian Rhapsody originally made in?</x:v>
      </x:c>
      <x:c r="D202" s="21" t="str">
        <x:v>The original languages of Bohemian Rhapsody are English. || Bohemian Rhapsody was originally made in English.</x:v>
      </x:c>
      <x:c r="E202" s="16" t="n">
        <x:v>1</x:v>
      </x:c>
      <x:c r="F202" s="21" t="str">
        <x:v>The original languages of Bohemian Rhapsody are English.</x:v>
      </x:c>
      <x:c r="G202" s="2" t="str">
        <x:v>A0</x:v>
      </x:c>
      <x:c r="H202" s="2" t="str">
        <x:v>自动评审01</x:v>
      </x:c>
      <x:c r="I202" s="16" t="n">
        <x:v>2</x:v>
      </x:c>
      <x:c r="J202" s="16" t="n">
        <x:v>2</x:v>
      </x:c>
      <x:c r="K202" s="16" t="n">
        <x:v>4</x:v>
      </x:c>
      <x:c r="L202" s="16" t="n">
        <x:v>0</x:v>
      </x:c>
      <x:c r="M202" s="21" t="str">
        <x:v>Bohemian Rhapsody 的 English 原始语言正确完整；单门语言配 languages are 略生硬。</x:v>
      </x:c>
      <x:c r="N202" s="2" t="str">
        <x:v>gpt-6.1-sol</x:v>
      </x:c>
      <x:c r="O202" s="2" t="str">
        <x:v>ultra</x:v>
      </x:c>
      <x:c r="P202" s="16" t="n">
        <x:f>IF(I202=I402,1,0)</x:f>
        <x:v>1</x:v>
      </x:c>
      <x:c r="Q202" s="16" t="n">
        <x:f>IF(J202=J402,1,0)</x:f>
        <x:v>1</x:v>
      </x:c>
      <x:c r="R202" s="16" t="n">
        <x:f>IF(K202=K402,1,0)</x:f>
        <x:v>1</x:v>
      </x:c>
      <x:c r="S202" s="16" t="n">
        <x:f>IF(L202=L402,1,0)</x:f>
        <x:v>1</x:v>
      </x:c>
      <x:c r="T202" s="16" t="n">
        <x:f>IF(SUM(P202:S202)=4,1,0)</x:f>
        <x:v>1</x:v>
      </x:c>
    </x:row>
    <x:row r="203" ht="40" customHeight="1">
      <x:c r="A203" s="16" t="n">
        <x:v>99</x:v>
      </x:c>
      <x:c r="B203" s="2" t="str">
        <x:v>Q27894574_P364_1</x:v>
      </x:c>
      <x:c r="C203" s="21" t="str">
        <x:v>Which languages was Bohemian Rhapsody originally made in?</x:v>
      </x:c>
      <x:c r="D203" s="21" t="str">
        <x:v>The original languages of Bohemian Rhapsody are English. || Bohemian Rhapsody was originally made in English.</x:v>
      </x:c>
      <x:c r="E203" s="16" t="n">
        <x:v>2</x:v>
      </x:c>
      <x:c r="F203" s="21" t="str">
        <x:v>The original languages of Bohemian Rhapsody are English.</x:v>
      </x:c>
      <x:c r="G203" s="2" t="str">
        <x:v>B0</x:v>
      </x:c>
      <x:c r="H203" s="2" t="str">
        <x:v>自动评审01</x:v>
      </x:c>
      <x:c r="I203" s="16" t="n">
        <x:v>2</x:v>
      </x:c>
      <x:c r="J203" s="16" t="n">
        <x:v>2</x:v>
      </x:c>
      <x:c r="K203" s="16" t="n">
        <x:v>4</x:v>
      </x:c>
      <x:c r="L203" s="16" t="n">
        <x:v>0</x:v>
      </x:c>
      <x:c r="M203" s="21" t="str">
        <x:v>英语完整对应参考语言信息，无新增内容；单项语言的复数措辞稍不自然。</x:v>
      </x:c>
      <x:c r="N203" s="2" t="str">
        <x:v>gpt-6.1-sol</x:v>
      </x:c>
      <x:c r="O203" s="2" t="str">
        <x:v>ultra</x:v>
      </x:c>
      <x:c r="P203" s="16" t="n">
        <x:f>IF(I203=I403,1,0)</x:f>
        <x:v>1</x:v>
      </x:c>
      <x:c r="Q203" s="16" t="n">
        <x:f>IF(J203=J403,1,0)</x:f>
        <x:v>1</x:v>
      </x:c>
      <x:c r="R203" s="16" t="n">
        <x:f>IF(K203=K403,1,0)</x:f>
        <x:v>1</x:v>
      </x:c>
      <x:c r="S203" s="16" t="n">
        <x:f>IF(L203=L403,1,0)</x:f>
        <x:v>1</x:v>
      </x:c>
      <x:c r="T203" s="16" t="n">
        <x:f>IF(SUM(P203:S203)=4,1,0)</x:f>
        <x:v>1</x:v>
      </x:c>
    </x:row>
    <x:row r="204" ht="54" customHeight="1">
      <x:c r="A204" s="16" t="n">
        <x:v>100</x:v>
      </x:c>
      <x:c r="B204" s="2" t="str">
        <x:v>Q54489141_P136_1</x:v>
      </x:c>
      <x:c r="C204" s="21" t="str">
        <x:v>Which genres does The Personal History of David Copperfield belong to?</x:v>
      </x:c>
      <x:c r="D204" s="21" t="str">
        <x:v>The Personal History of David Copperfield belongs to the following genres: drama film and comedy drama. || The genres of The Personal History of David Copperfield are drama film and comedy drama.</x:v>
      </x:c>
      <x:c r="E204" s="16" t="n">
        <x:v>1</x:v>
      </x:c>
      <x:c r="F204" s="21" t="str">
        <x:v>The Personal History of David Copperfield belongs to the following genres: drama film and comedy drama.</x:v>
      </x:c>
      <x:c r="G204" s="2" t="str">
        <x:v>A0</x:v>
      </x:c>
      <x:c r="H204" s="2" t="str">
        <x:v>自动评审01</x:v>
      </x:c>
      <x:c r="I204" s="16" t="n">
        <x:v>2</x:v>
      </x:c>
      <x:c r="J204" s="16" t="n">
        <x:v>2</x:v>
      </x:c>
      <x:c r="K204" s="16" t="n">
        <x:v>5</x:v>
      </x:c>
      <x:c r="L204" s="16" t="n">
        <x:v>0</x:v>
      </x:c>
      <x:c r="M204" s="21" t="str">
        <x:v>剧情片与喜剧剧情两项类型正确完整，长电影标题未妨碍表达，列举自然。</x:v>
      </x:c>
      <x:c r="N204" s="2" t="str">
        <x:v>gpt-6.1-sol</x:v>
      </x:c>
      <x:c r="O204" s="2" t="str">
        <x:v>ultra</x:v>
      </x:c>
      <x:c r="P204" s="16" t="n">
        <x:f>IF(I204=I404,1,0)</x:f>
        <x:v>1</x:v>
      </x:c>
      <x:c r="Q204" s="16" t="n">
        <x:f>IF(J204=J404,1,0)</x:f>
        <x:v>1</x:v>
      </x:c>
      <x:c r="R204" s="16" t="n">
        <x:f>IF(K204=K404,1,0)</x:f>
        <x:v>1</x:v>
      </x:c>
      <x:c r="S204" s="16" t="n">
        <x:f>IF(L204=L404,1,0)</x:f>
        <x:v>1</x:v>
      </x:c>
      <x:c r="T204" s="16" t="n">
        <x:f>IF(SUM(P204:S204)=4,1,0)</x:f>
        <x:v>1</x:v>
      </x:c>
    </x:row>
    <x:row r="205" ht="54" customHeight="1">
      <x:c r="A205" s="16" t="n">
        <x:v>100</x:v>
      </x:c>
      <x:c r="B205" s="2" t="str">
        <x:v>Q54489141_P136_1</x:v>
      </x:c>
      <x:c r="C205" s="21" t="str">
        <x:v>Which genres does The Personal History of David Copperfield belong to?</x:v>
      </x:c>
      <x:c r="D205" s="21" t="str">
        <x:v>The Personal History of David Copperfield belongs to the following genres: drama film and comedy drama. || The genres of The Personal History of David Copperfield are drama film and comedy drama.</x:v>
      </x:c>
      <x:c r="E205" s="16" t="n">
        <x:v>2</x:v>
      </x:c>
      <x:c r="F205" s="21" t="str">
        <x:v>The Personal History of David Copperfield belongs to the following genres: drama film and comedy drama.</x:v>
      </x:c>
      <x:c r="G205" s="2" t="str">
        <x:v>B0</x:v>
      </x:c>
      <x:c r="H205" s="2" t="str">
        <x:v>自动评审01</x:v>
      </x:c>
      <x:c r="I205" s="16" t="n">
        <x:v>2</x:v>
      </x:c>
      <x:c r="J205" s="16" t="n">
        <x:v>2</x:v>
      </x:c>
      <x:c r="K205" s="16" t="n">
        <x:v>5</x:v>
      </x:c>
      <x:c r="L205" s="16" t="n">
        <x:v>0</x:v>
      </x:c>
      <x:c r="M205" s="21" t="str">
        <x:v>The Personal History of David Copperfield 的 drama film 和 comedy drama 均符合参考，信息齐全，句法流畅。</x:v>
      </x:c>
      <x:c r="N205" s="2" t="str">
        <x:v>gpt-6.1-sol</x:v>
      </x:c>
      <x:c r="O205" s="2" t="str">
        <x:v>ultra</x:v>
      </x:c>
      <x:c r="P205" s="16" t="n">
        <x:f>IF(I205=I405,1,0)</x:f>
        <x:v>1</x:v>
      </x:c>
      <x:c r="Q205" s="16" t="n">
        <x:f>IF(J205=J405,1,0)</x:f>
        <x:v>1</x:v>
      </x:c>
      <x:c r="R205" s="16" t="n">
        <x:f>IF(K205=K405,1,0)</x:f>
        <x:v>1</x:v>
      </x:c>
      <x:c r="S205" s="16" t="n">
        <x:f>IF(L205=L405,1,0)</x:f>
        <x:v>1</x:v>
      </x:c>
      <x:c r="T205" s="16" t="n">
        <x:f>IF(SUM(P205:S205)=4,1,0)</x:f>
        <x:v>1</x:v>
      </x:c>
    </x:row>
    <x:row r="206" ht="54" customHeight="1">
      <x:c r="A206" s="16" t="n">
        <x:v>1</x:v>
      </x:c>
      <x:c r="B206" s="2" t="str">
        <x:v>Q302490_P136_1</x:v>
      </x:c>
      <x:c r="C206" s="21" t="str">
        <x:v>Which genres does The Mission belong to?</x:v>
      </x:c>
      <x:c r="D206" s="21" t="str">
        <x:v>The Mission belongs to the following genres: drama film and historical film. || The genres of The Mission are drama film and historical film.</x:v>
      </x:c>
      <x:c r="E206" s="16" t="n">
        <x:v>1</x:v>
      </x:c>
      <x:c r="F206" s="21" t="str">
        <x:v>The Mission belongs to the following genres: drama film and historical film.</x:v>
      </x:c>
      <x:c r="G206" s="2" t="str">
        <x:v>B0</x:v>
      </x:c>
      <x:c r="H206" s="2" t="str">
        <x:v>自动评审02</x:v>
      </x:c>
      <x:c r="I206" s="16" t="n">
        <x:v>2</x:v>
      </x:c>
      <x:c r="J206" s="16" t="n">
        <x:v>2</x:v>
      </x:c>
      <x:c r="K206" s="16" t="n">
        <x:v>5</x:v>
      </x:c>
      <x:c r="L206" s="16" t="n">
        <x:v>0</x:v>
      </x:c>
      <x:c r="M206" s="21" t="str">
        <x:v>明确列出剧情片和历史片两种类型，覆盖参考全部内容，句式自然。</x:v>
      </x:c>
      <x:c r="N206" s="2" t="str">
        <x:v>gpt-6.1-sol</x:v>
      </x:c>
      <x:c r="O206" s="2" t="str">
        <x:v>ultra</x:v>
      </x:c>
      <x:c r="P206" s="16"/>
      <x:c r="Q206" s="16"/>
      <x:c r="R206" s="16"/>
      <x:c r="S206" s="16"/>
      <x:c r="T206" s="16"/>
    </x:row>
    <x:row r="207" ht="54" customHeight="1">
      <x:c r="A207" s="16" t="n">
        <x:v>1</x:v>
      </x:c>
      <x:c r="B207" s="2" t="str">
        <x:v>Q302490_P136_1</x:v>
      </x:c>
      <x:c r="C207" s="21" t="str">
        <x:v>Which genres does The Mission belong to?</x:v>
      </x:c>
      <x:c r="D207" s="21" t="str">
        <x:v>The Mission belongs to the following genres: drama film and historical film. || The genres of The Mission are drama film and historical film.</x:v>
      </x:c>
      <x:c r="E207" s="16" t="n">
        <x:v>2</x:v>
      </x:c>
      <x:c r="F207" s="21" t="str">
        <x:v>The Mission belongs to the following genres: drama film and historical film.</x:v>
      </x:c>
      <x:c r="G207" s="2" t="str">
        <x:v>A0</x:v>
      </x:c>
      <x:c r="H207" s="2" t="str">
        <x:v>自动评审02</x:v>
      </x:c>
      <x:c r="I207" s="16" t="n">
        <x:v>2</x:v>
      </x:c>
      <x:c r="J207" s="16" t="n">
        <x:v>2</x:v>
      </x:c>
      <x:c r="K207" s="16" t="n">
        <x:v>5</x:v>
      </x:c>
      <x:c r="L207" s="16" t="n">
        <x:v>0</x:v>
      </x:c>
      <x:c r="M207" s="21" t="str">
        <x:v>影片及剧情片、历史片关系均与参考一致，两类齐全，表达清楚。</x:v>
      </x:c>
      <x:c r="N207" s="2" t="str">
        <x:v>gpt-6.1-sol</x:v>
      </x:c>
      <x:c r="O207" s="2" t="str">
        <x:v>ultra</x:v>
      </x:c>
      <x:c r="P207" s="16"/>
      <x:c r="Q207" s="16"/>
      <x:c r="R207" s="16"/>
      <x:c r="S207" s="16"/>
      <x:c r="T207" s="16"/>
    </x:row>
    <x:row r="208" ht="40" customHeight="1">
      <x:c r="A208" s="16" t="n">
        <x:v>2</x:v>
      </x:c>
      <x:c r="B208" s="2" t="str">
        <x:v>Q208344_P495_2</x:v>
      </x:c>
      <x:c r="C208" s="21" t="str">
        <x:v>Name the countries of origin of Armageddon.</x:v>
      </x:c>
      <x:c r="D208" s="21" t="str">
        <x:v>Armageddon originated in United States. || The countries of origin of Armageddon are United States.</x:v>
      </x:c>
      <x:c r="E208" s="16" t="n">
        <x:v>1</x:v>
      </x:c>
      <x:c r="F208" s="21" t="str">
        <x:v>Armageddon originated in United States.</x:v>
      </x:c>
      <x:c r="G208" s="2" t="str">
        <x:v>A0</x:v>
      </x:c>
      <x:c r="H208" s="2" t="str">
        <x:v>自动评审02</x:v>
      </x:c>
      <x:c r="I208" s="16" t="n">
        <x:v>2</x:v>
      </x:c>
      <x:c r="J208" s="16" t="n">
        <x:v>2</x:v>
      </x:c>
      <x:c r="K208" s="16" t="n">
        <x:v>4</x:v>
      </x:c>
      <x:c r="L208" s="16" t="n">
        <x:v>0</x:v>
      </x:c>
      <x:c r="M208" s="21" t="str">
        <x:v>产地United States准确且无遗漏；in United States通常应加定冠词the。</x:v>
      </x:c>
      <x:c r="N208" s="2" t="str">
        <x:v>gpt-6.1-sol</x:v>
      </x:c>
      <x:c r="O208" s="2" t="str">
        <x:v>ultra</x:v>
      </x:c>
      <x:c r="P208" s="16"/>
      <x:c r="Q208" s="16"/>
      <x:c r="R208" s="16"/>
      <x:c r="S208" s="16"/>
      <x:c r="T208" s="16"/>
    </x:row>
    <x:row r="209" ht="40" customHeight="1">
      <x:c r="A209" s="16" t="n">
        <x:v>2</x:v>
      </x:c>
      <x:c r="B209" s="2" t="str">
        <x:v>Q208344_P495_2</x:v>
      </x:c>
      <x:c r="C209" s="21" t="str">
        <x:v>Name the countries of origin of Armageddon.</x:v>
      </x:c>
      <x:c r="D209" s="21" t="str">
        <x:v>Armageddon originated in United States. || The countries of origin of Armageddon are United States.</x:v>
      </x:c>
      <x:c r="E209" s="16" t="n">
        <x:v>2</x:v>
      </x:c>
      <x:c r="F209" s="21" t="str">
        <x:v>Armageddon originated in United States.</x:v>
      </x:c>
      <x:c r="G209" s="2" t="str">
        <x:v>B0</x:v>
      </x:c>
      <x:c r="H209" s="2" t="str">
        <x:v>自动评审02</x:v>
      </x:c>
      <x:c r="I209" s="16" t="n">
        <x:v>2</x:v>
      </x:c>
      <x:c r="J209" s="16" t="n">
        <x:v>2</x:v>
      </x:c>
      <x:c r="K209" s="16" t="n">
        <x:v>4</x:v>
      </x:c>
      <x:c r="L209" s="16" t="n">
        <x:v>0</x:v>
      </x:c>
      <x:c r="M209" s="21" t="str">
        <x:v>回答了参考唯一产地美国，无新增事实；United States前漏用the，略不自然。</x:v>
      </x:c>
      <x:c r="N209" s="2" t="str">
        <x:v>gpt-6.1-sol</x:v>
      </x:c>
      <x:c r="O209" s="2" t="str">
        <x:v>ultra</x:v>
      </x:c>
      <x:c r="P209" s="16"/>
      <x:c r="Q209" s="16"/>
      <x:c r="R209" s="16"/>
      <x:c r="S209" s="16"/>
      <x:c r="T209" s="16"/>
    </x:row>
    <x:row r="210" ht="40" customHeight="1">
      <x:c r="A210" s="16" t="n">
        <x:v>3</x:v>
      </x:c>
      <x:c r="B210" s="2" t="str">
        <x:v>Q720159_P57_0</x:v>
      </x:c>
      <x:c r="C210" s="21" t="str">
        <x:v>Who directed The Decameron?</x:v>
      </x:c>
      <x:c r="D210" s="21" t="str">
        <x:v>The Decameron was directed by Pier Paolo Pasolini. || The director or directors of The Decameron are Pier Paolo Pasolini.</x:v>
      </x:c>
      <x:c r="E210" s="16" t="n">
        <x:v>1</x:v>
      </x:c>
      <x:c r="F210" s="21" t="str">
        <x:v>The Decameron was directed by Pier Paolo Pasolini.</x:v>
      </x:c>
      <x:c r="G210" s="2" t="str">
        <x:v>A0</x:v>
      </x:c>
      <x:c r="H210" s="2" t="str">
        <x:v>自动评审02</x:v>
      </x:c>
      <x:c r="I210" s="16" t="n">
        <x:v>2</x:v>
      </x:c>
      <x:c r="J210" s="16" t="n">
        <x:v>2</x:v>
      </x:c>
      <x:c r="K210" s="16" t="n">
        <x:v>5</x:v>
      </x:c>
      <x:c r="L210" s="16" t="n">
        <x:v>0</x:v>
      </x:c>
      <x:c r="M210" s="21" t="str">
        <x:v>导演Pier Paolo Pasolini与参考一致，完整回答执导者，语法自然。</x:v>
      </x:c>
      <x:c r="N210" s="2" t="str">
        <x:v>gpt-6.1-sol</x:v>
      </x:c>
      <x:c r="O210" s="2" t="str">
        <x:v>ultra</x:v>
      </x:c>
      <x:c r="P210" s="16"/>
      <x:c r="Q210" s="16"/>
      <x:c r="R210" s="16"/>
      <x:c r="S210" s="16"/>
      <x:c r="T210" s="16"/>
    </x:row>
    <x:row r="211" ht="40" customHeight="1">
      <x:c r="A211" s="16" t="n">
        <x:v>3</x:v>
      </x:c>
      <x:c r="B211" s="2" t="str">
        <x:v>Q720159_P57_0</x:v>
      </x:c>
      <x:c r="C211" s="21" t="str">
        <x:v>Who directed The Decameron?</x:v>
      </x:c>
      <x:c r="D211" s="21" t="str">
        <x:v>The Decameron was directed by Pier Paolo Pasolini. || The director or directors of The Decameron are Pier Paolo Pasolini.</x:v>
      </x:c>
      <x:c r="E211" s="16" t="n">
        <x:v>2</x:v>
      </x:c>
      <x:c r="F211" s="21" t="str">
        <x:v>The Decameron was directed by Pier Paolo Pasolini.</x:v>
      </x:c>
      <x:c r="G211" s="2" t="str">
        <x:v>B0</x:v>
      </x:c>
      <x:c r="H211" s="2" t="str">
        <x:v>自动评审02</x:v>
      </x:c>
      <x:c r="I211" s="16" t="n">
        <x:v>2</x:v>
      </x:c>
      <x:c r="J211" s="16" t="n">
        <x:v>2</x:v>
      </x:c>
      <x:c r="K211" s="16" t="n">
        <x:v>5</x:v>
      </x:c>
      <x:c r="L211" s="16" t="n">
        <x:v>0</x:v>
      </x:c>
      <x:c r="M211" s="21" t="str">
        <x:v>将The Decameron对应到Pier Paolo Pasolini，所需导演信息完整，表述顺畅。</x:v>
      </x:c>
      <x:c r="N211" s="2" t="str">
        <x:v>gpt-6.1-sol</x:v>
      </x:c>
      <x:c r="O211" s="2" t="str">
        <x:v>ultra</x:v>
      </x:c>
      <x:c r="P211" s="16"/>
      <x:c r="Q211" s="16"/>
      <x:c r="R211" s="16"/>
      <x:c r="S211" s="16"/>
      <x:c r="T211" s="16"/>
    </x:row>
    <x:row r="212" ht="40" customHeight="1">
      <x:c r="A212" s="16" t="n">
        <x:v>4</x:v>
      </x:c>
      <x:c r="B212" s="2" t="str">
        <x:v>Q116733128_P364_1</x:v>
      </x:c>
      <x:c r="C212" s="21" t="str">
        <x:v>Which languages was The Pope's Exorcist originally made in?</x:v>
      </x:c>
      <x:c r="D212" s="21" t="str">
        <x:v>The original languages of The Pope's Exorcist are English. || The Pope's Exorcist was originally made in English.</x:v>
      </x:c>
      <x:c r="E212" s="16" t="n">
        <x:v>1</x:v>
      </x:c>
      <x:c r="F212" s="21" t="str">
        <x:v>The original languages of The Pope's Exorcist are English.</x:v>
      </x:c>
      <x:c r="G212" s="2" t="str">
        <x:v>B0</x:v>
      </x:c>
      <x:c r="H212" s="2" t="str">
        <x:v>自动评审02</x:v>
      </x:c>
      <x:c r="I212" s="16" t="n">
        <x:v>2</x:v>
      </x:c>
      <x:c r="J212" s="16" t="n">
        <x:v>2</x:v>
      </x:c>
      <x:c r="K212" s="16" t="n">
        <x:v>4</x:v>
      </x:c>
      <x:c r="L212" s="16" t="n">
        <x:v>0</x:v>
      </x:c>
      <x:c r="M212" s="21" t="str">
        <x:v>原始语言English完整准确；单一语言使用languages…are的复数框架稍显生硬。</x:v>
      </x:c>
      <x:c r="N212" s="2" t="str">
        <x:v>gpt-6.1-sol</x:v>
      </x:c>
      <x:c r="O212" s="2" t="str">
        <x:v>ultra</x:v>
      </x:c>
      <x:c r="P212" s="16"/>
      <x:c r="Q212" s="16"/>
      <x:c r="R212" s="16"/>
      <x:c r="S212" s="16"/>
      <x:c r="T212" s="16"/>
    </x:row>
    <x:row r="213" ht="40" customHeight="1">
      <x:c r="A213" s="16" t="n">
        <x:v>4</x:v>
      </x:c>
      <x:c r="B213" s="2" t="str">
        <x:v>Q116733128_P364_1</x:v>
      </x:c>
      <x:c r="C213" s="21" t="str">
        <x:v>Which languages was The Pope's Exorcist originally made in?</x:v>
      </x:c>
      <x:c r="D213" s="21" t="str">
        <x:v>The original languages of The Pope's Exorcist are English. || The Pope's Exorcist was originally made in English.</x:v>
      </x:c>
      <x:c r="E213" s="16" t="n">
        <x:v>2</x:v>
      </x:c>
      <x:c r="F213" s="21" t="str">
        <x:v>The original languages of The Pope's Exorcist are English.</x:v>
      </x:c>
      <x:c r="G213" s="2" t="str">
        <x:v>A0</x:v>
      </x:c>
      <x:c r="H213" s="2" t="str">
        <x:v>自动评审02</x:v>
      </x:c>
      <x:c r="I213" s="16" t="n">
        <x:v>2</x:v>
      </x:c>
      <x:c r="J213" s="16" t="n">
        <x:v>2</x:v>
      </x:c>
      <x:c r="K213" s="16" t="n">
        <x:v>4</x:v>
      </x:c>
      <x:c r="L213" s="16" t="n">
        <x:v>0</x:v>
      </x:c>
      <x:c r="M213" s="21" t="str">
        <x:v>英语这一参考语言已明确给出，无额外断言；仅一个语言却用复数languages，轻微不自然。</x:v>
      </x:c>
      <x:c r="N213" s="2" t="str">
        <x:v>gpt-6.1-sol</x:v>
      </x:c>
      <x:c r="O213" s="2" t="str">
        <x:v>ultra</x:v>
      </x:c>
      <x:c r="P213" s="16"/>
      <x:c r="Q213" s="16"/>
      <x:c r="R213" s="16"/>
      <x:c r="S213" s="16"/>
      <x:c r="T213" s="16"/>
    </x:row>
    <x:row r="214" ht="40" customHeight="1">
      <x:c r="A214" s="16" t="n">
        <x:v>5</x:v>
      </x:c>
      <x:c r="B214" s="2" t="str">
        <x:v>Q376807_P57_1</x:v>
      </x:c>
      <x:c r="C214" s="21" t="str">
        <x:v>Who was the director of The Other Guys?</x:v>
      </x:c>
      <x:c r="D214" s="21" t="str">
        <x:v>The Other Guys was directed by Adam McKay. || The director or directors of The Other Guys are Adam McKay.</x:v>
      </x:c>
      <x:c r="E214" s="16" t="n">
        <x:v>1</x:v>
      </x:c>
      <x:c r="F214" s="21" t="str">
        <x:v>The Other Guys was directed by Adam McKay.</x:v>
      </x:c>
      <x:c r="G214" s="2" t="str">
        <x:v>B0</x:v>
      </x:c>
      <x:c r="H214" s="2" t="str">
        <x:v>自动评审02</x:v>
      </x:c>
      <x:c r="I214" s="16" t="n">
        <x:v>2</x:v>
      </x:c>
      <x:c r="J214" s="16" t="n">
        <x:v>2</x:v>
      </x:c>
      <x:c r="K214" s="16" t="n">
        <x:v>5</x:v>
      </x:c>
      <x:c r="L214" s="16" t="n">
        <x:v>0</x:v>
      </x:c>
      <x:c r="M214" s="21" t="str">
        <x:v>Adam McKay为参考所列导演，回答完整，片名作为单部电影用was自然。</x:v>
      </x:c>
      <x:c r="N214" s="2" t="str">
        <x:v>gpt-6.1-sol</x:v>
      </x:c>
      <x:c r="O214" s="2" t="str">
        <x:v>ultra</x:v>
      </x:c>
      <x:c r="P214" s="16"/>
      <x:c r="Q214" s="16"/>
      <x:c r="R214" s="16"/>
      <x:c r="S214" s="16"/>
      <x:c r="T214" s="16"/>
    </x:row>
    <x:row r="215" ht="40" customHeight="1">
      <x:c r="A215" s="16" t="n">
        <x:v>5</x:v>
      </x:c>
      <x:c r="B215" s="2" t="str">
        <x:v>Q376807_P57_1</x:v>
      </x:c>
      <x:c r="C215" s="21" t="str">
        <x:v>Who was the director of The Other Guys?</x:v>
      </x:c>
      <x:c r="D215" s="21" t="str">
        <x:v>The Other Guys was directed by Adam McKay. || The director or directors of The Other Guys are Adam McKay.</x:v>
      </x:c>
      <x:c r="E215" s="16" t="n">
        <x:v>2</x:v>
      </x:c>
      <x:c r="F215" s="21" t="str">
        <x:v>The Other Guys was directed by Adam McKay.</x:v>
      </x:c>
      <x:c r="G215" s="2" t="str">
        <x:v>A0</x:v>
      </x:c>
      <x:c r="H215" s="2" t="str">
        <x:v>自动评审02</x:v>
      </x:c>
      <x:c r="I215" s="16" t="n">
        <x:v>2</x:v>
      </x:c>
      <x:c r="J215" s="16" t="n">
        <x:v>2</x:v>
      </x:c>
      <x:c r="K215" s="16" t="n">
        <x:v>5</x:v>
      </x:c>
      <x:c r="L215" s="16" t="n">
        <x:v>0</x:v>
      </x:c>
      <x:c r="M215" s="21" t="str">
        <x:v>准确回答The Other Guys由Adam McKay执导，未增添其他关系，句子清楚。</x:v>
      </x:c>
      <x:c r="N215" s="2" t="str">
        <x:v>gpt-6.1-sol</x:v>
      </x:c>
      <x:c r="O215" s="2" t="str">
        <x:v>ultra</x:v>
      </x:c>
      <x:c r="P215" s="16"/>
      <x:c r="Q215" s="16"/>
      <x:c r="R215" s="16"/>
      <x:c r="S215" s="16"/>
      <x:c r="T215" s="16"/>
    </x:row>
    <x:row r="216" ht="54" customHeight="1">
      <x:c r="A216" s="16" t="n">
        <x:v>6</x:v>
      </x:c>
      <x:c r="B216" s="2" t="str">
        <x:v>Q778161_P136_2</x:v>
      </x:c>
      <x:c r="C216" s="21" t="str">
        <x:v>Name the genre or genres of Touch of Evil.</x:v>
      </x:c>
      <x:c r="D216" s="21" t="str">
        <x:v>Touch of Evil belongs to the following genres: drama film, film noir and crime film. || The genres of Touch of Evil are drama film, film noir and crime film.</x:v>
      </x:c>
      <x:c r="E216" s="16" t="n">
        <x:v>1</x:v>
      </x:c>
      <x:c r="F216" s="21" t="str">
        <x:v>Touch of Evil belongs to the following genres: drama film, film noir and crime film.</x:v>
      </x:c>
      <x:c r="G216" s="2" t="str">
        <x:v>A0</x:v>
      </x:c>
      <x:c r="H216" s="2" t="str">
        <x:v>自动评审02</x:v>
      </x:c>
      <x:c r="I216" s="16" t="n">
        <x:v>2</x:v>
      </x:c>
      <x:c r="J216" s="16" t="n">
        <x:v>2</x:v>
      </x:c>
      <x:c r="K216" s="16" t="n">
        <x:v>5</x:v>
      </x:c>
      <x:c r="L216" s="16" t="n">
        <x:v>0</x:v>
      </x:c>
      <x:c r="M216" s="21" t="str">
        <x:v>剧情片、黑色电影、犯罪片三类均列出，与参考一致，列举清晰。</x:v>
      </x:c>
      <x:c r="N216" s="2" t="str">
        <x:v>gpt-6.1-sol</x:v>
      </x:c>
      <x:c r="O216" s="2" t="str">
        <x:v>ultra</x:v>
      </x:c>
      <x:c r="P216" s="16"/>
      <x:c r="Q216" s="16"/>
      <x:c r="R216" s="16"/>
      <x:c r="S216" s="16"/>
      <x:c r="T216" s="16"/>
    </x:row>
    <x:row r="217" ht="54" customHeight="1">
      <x:c r="A217" s="16" t="n">
        <x:v>6</x:v>
      </x:c>
      <x:c r="B217" s="2" t="str">
        <x:v>Q778161_P136_2</x:v>
      </x:c>
      <x:c r="C217" s="21" t="str">
        <x:v>Name the genre or genres of Touch of Evil.</x:v>
      </x:c>
      <x:c r="D217" s="21" t="str">
        <x:v>Touch of Evil belongs to the following genres: drama film, film noir and crime film. || The genres of Touch of Evil are drama film, film noir and crime film.</x:v>
      </x:c>
      <x:c r="E217" s="16" t="n">
        <x:v>2</x:v>
      </x:c>
      <x:c r="F217" s="21" t="str">
        <x:v>Touch of Evil belongs to the following genres: drama film, film noir and crime film.</x:v>
      </x:c>
      <x:c r="G217" s="2" t="str">
        <x:v>B0</x:v>
      </x:c>
      <x:c r="H217" s="2" t="str">
        <x:v>自动评审02</x:v>
      </x:c>
      <x:c r="I217" s="16" t="n">
        <x:v>2</x:v>
      </x:c>
      <x:c r="J217" s="16" t="n">
        <x:v>2</x:v>
      </x:c>
      <x:c r="K217" s="16" t="n">
        <x:v>5</x:v>
      </x:c>
      <x:c r="L217" s="16" t="n">
        <x:v>0</x:v>
      </x:c>
      <x:c r="M217" s="21" t="str">
        <x:v>Touch of Evil的三种参考类型全部覆盖，未遗漏或新增类型，英语通顺。</x:v>
      </x:c>
      <x:c r="N217" s="2" t="str">
        <x:v>gpt-6.1-sol</x:v>
      </x:c>
      <x:c r="O217" s="2" t="str">
        <x:v>ultra</x:v>
      </x:c>
      <x:c r="P217" s="16"/>
      <x:c r="Q217" s="16"/>
      <x:c r="R217" s="16"/>
      <x:c r="S217" s="16"/>
      <x:c r="T217" s="16"/>
    </x:row>
    <x:row r="218" ht="40" customHeight="1">
      <x:c r="A218" s="16" t="n">
        <x:v>7</x:v>
      </x:c>
      <x:c r="B218" s="2" t="str">
        <x:v>Q54437950_P364_0</x:v>
      </x:c>
      <x:c r="C218" s="21" t="str">
        <x:v>What is the original language of Maleficent: Mistress of Evil?</x:v>
      </x:c>
      <x:c r="D218" s="21" t="str">
        <x:v>The original languages of Maleficent: Mistress of Evil are English. || Maleficent: Mistress of Evil was originally made in English.</x:v>
      </x:c>
      <x:c r="E218" s="16" t="n">
        <x:v>1</x:v>
      </x:c>
      <x:c r="F218" s="21" t="str">
        <x:v>The original languages of Maleficent: Mistress of Evil are English.</x:v>
      </x:c>
      <x:c r="G218" s="2" t="str">
        <x:v>B0</x:v>
      </x:c>
      <x:c r="H218" s="2" t="str">
        <x:v>自动评审02</x:v>
      </x:c>
      <x:c r="I218" s="16" t="n">
        <x:v>2</x:v>
      </x:c>
      <x:c r="J218" s="16" t="n">
        <x:v>2</x:v>
      </x:c>
      <x:c r="K218" s="16" t="n">
        <x:v>4</x:v>
      </x:c>
      <x:c r="L218" s="16" t="n">
        <x:v>0</x:v>
      </x:c>
      <x:c r="M218" s="21" t="str">
        <x:v>English是参考唯一语言，事实及覆盖正确；单一语言配复数languages…are略不自然。</x:v>
      </x:c>
      <x:c r="N218" s="2" t="str">
        <x:v>gpt-6.1-sol</x:v>
      </x:c>
      <x:c r="O218" s="2" t="str">
        <x:v>ultra</x:v>
      </x:c>
      <x:c r="P218" s="16"/>
      <x:c r="Q218" s="16"/>
      <x:c r="R218" s="16"/>
      <x:c r="S218" s="16"/>
      <x:c r="T218" s="16"/>
    </x:row>
    <x:row r="219" ht="40" customHeight="1">
      <x:c r="A219" s="16" t="n">
        <x:v>7</x:v>
      </x:c>
      <x:c r="B219" s="2" t="str">
        <x:v>Q54437950_P364_0</x:v>
      </x:c>
      <x:c r="C219" s="21" t="str">
        <x:v>What is the original language of Maleficent: Mistress of Evil?</x:v>
      </x:c>
      <x:c r="D219" s="21" t="str">
        <x:v>The original languages of Maleficent: Mistress of Evil are English. || Maleficent: Mistress of Evil was originally made in English.</x:v>
      </x:c>
      <x:c r="E219" s="16" t="n">
        <x:v>2</x:v>
      </x:c>
      <x:c r="F219" s="21" t="str">
        <x:v>The original languages of Maleficent: Mistress of Evil are English.</x:v>
      </x:c>
      <x:c r="G219" s="2" t="str">
        <x:v>A0</x:v>
      </x:c>
      <x:c r="H219" s="2" t="str">
        <x:v>自动评审02</x:v>
      </x:c>
      <x:c r="I219" s="16" t="n">
        <x:v>2</x:v>
      </x:c>
      <x:c r="J219" s="16" t="n">
        <x:v>2</x:v>
      </x:c>
      <x:c r="K219" s="16" t="n">
        <x:v>4</x:v>
      </x:c>
      <x:c r="L219" s="16" t="n">
        <x:v>0</x:v>
      </x:c>
      <x:c r="M219" s="21" t="str">
        <x:v>回答了该片原始语言英语，信息完整；原始语言的单复数表述有轻微问题。</x:v>
      </x:c>
      <x:c r="N219" s="2" t="str">
        <x:v>gpt-6.1-sol</x:v>
      </x:c>
      <x:c r="O219" s="2" t="str">
        <x:v>ultra</x:v>
      </x:c>
      <x:c r="P219" s="16"/>
      <x:c r="Q219" s="16"/>
      <x:c r="R219" s="16"/>
      <x:c r="S219" s="16"/>
      <x:c r="T219" s="16"/>
    </x:row>
    <x:row r="220" ht="40" customHeight="1">
      <x:c r="A220" s="16" t="n">
        <x:v>8</x:v>
      </x:c>
      <x:c r="B220" s="2" t="str">
        <x:v>Q423001_P495_1</x:v>
      </x:c>
      <x:c r="C220" s="21" t="str">
        <x:v>What is the country of origin of Sumuru?</x:v>
      </x:c>
      <x:c r="D220" s="21" t="str">
        <x:v>Sumuru originated in United Kingdom and Germany. || The countries of origin of Sumuru are United Kingdom and Germany.</x:v>
      </x:c>
      <x:c r="E220" s="16" t="n">
        <x:v>1</x:v>
      </x:c>
      <x:c r="F220" s="21" t="str">
        <x:v>Sumuru originated in United Kingdom and Germany.</x:v>
      </x:c>
      <x:c r="G220" s="2" t="str">
        <x:v>A0</x:v>
      </x:c>
      <x:c r="H220" s="2" t="str">
        <x:v>自动评审02</x:v>
      </x:c>
      <x:c r="I220" s="16" t="n">
        <x:v>2</x:v>
      </x:c>
      <x:c r="J220" s="16" t="n">
        <x:v>2</x:v>
      </x:c>
      <x:c r="K220" s="16" t="n">
        <x:v>4</x:v>
      </x:c>
      <x:c r="L220" s="16" t="n">
        <x:v>0</x:v>
      </x:c>
      <x:c r="M220" s="21" t="str">
        <x:v>英国和德国两国产地齐全且准确；United Kingdom前通常需要the。</x:v>
      </x:c>
      <x:c r="N220" s="2" t="str">
        <x:v>gpt-6.1-sol</x:v>
      </x:c>
      <x:c r="O220" s="2" t="str">
        <x:v>ultra</x:v>
      </x:c>
      <x:c r="P220" s="16"/>
      <x:c r="Q220" s="16"/>
      <x:c r="R220" s="16"/>
      <x:c r="S220" s="16"/>
      <x:c r="T220" s="16"/>
    </x:row>
    <x:row r="221" ht="40" customHeight="1">
      <x:c r="A221" s="16" t="n">
        <x:v>8</x:v>
      </x:c>
      <x:c r="B221" s="2" t="str">
        <x:v>Q423001_P495_1</x:v>
      </x:c>
      <x:c r="C221" s="21" t="str">
        <x:v>What is the country of origin of Sumuru?</x:v>
      </x:c>
      <x:c r="D221" s="21" t="str">
        <x:v>Sumuru originated in United Kingdom and Germany. || The countries of origin of Sumuru are United Kingdom and Germany.</x:v>
      </x:c>
      <x:c r="E221" s="16" t="n">
        <x:v>2</x:v>
      </x:c>
      <x:c r="F221" s="21" t="str">
        <x:v>Sumuru originated in United Kingdom and Germany.</x:v>
      </x:c>
      <x:c r="G221" s="2" t="str">
        <x:v>B0</x:v>
      </x:c>
      <x:c r="H221" s="2" t="str">
        <x:v>自动评审02</x:v>
      </x:c>
      <x:c r="I221" s="16" t="n">
        <x:v>2</x:v>
      </x:c>
      <x:c r="J221" s="16" t="n">
        <x:v>2</x:v>
      </x:c>
      <x:c r="K221" s="16" t="n">
        <x:v>4</x:v>
      </x:c>
      <x:c r="L221" s="16" t="n">
        <x:v>0</x:v>
      </x:c>
      <x:c r="M221" s="21" t="str">
        <x:v>Sumuru对应United Kingdom与Germany，覆盖参考；漏用英国名称前的the。</x:v>
      </x:c>
      <x:c r="N221" s="2" t="str">
        <x:v>gpt-6.1-sol</x:v>
      </x:c>
      <x:c r="O221" s="2" t="str">
        <x:v>ultra</x:v>
      </x:c>
      <x:c r="P221" s="16"/>
      <x:c r="Q221" s="16"/>
      <x:c r="R221" s="16"/>
      <x:c r="S221" s="16"/>
      <x:c r="T221" s="16"/>
    </x:row>
    <x:row r="222" ht="40" customHeight="1">
      <x:c r="A222" s="16" t="n">
        <x:v>9</x:v>
      </x:c>
      <x:c r="B222" s="2" t="str">
        <x:v>Q488075_P495_1</x:v>
      </x:c>
      <x:c r="C222" s="21" t="str">
        <x:v>What is the country of origin of 301?</x:v>
      </x:c>
      <x:c r="D222" s="21" t="str">
        <x:v>301 originated in South Korea. || The countries of origin of 301 are South Korea.</x:v>
      </x:c>
      <x:c r="E222" s="16" t="n">
        <x:v>1</x:v>
      </x:c>
      <x:c r="F222" s="21" t="str">
        <x:v>301 originated in South Korea.</x:v>
      </x:c>
      <x:c r="G222" s="2" t="str">
        <x:v>A0</x:v>
      </x:c>
      <x:c r="H222" s="2" t="str">
        <x:v>自动评审02</x:v>
      </x:c>
      <x:c r="I222" s="16" t="n">
        <x:v>2</x:v>
      </x:c>
      <x:c r="J222" s="16" t="n">
        <x:v>2</x:v>
      </x:c>
      <x:c r="K222" s="16" t="n">
        <x:v>5</x:v>
      </x:c>
      <x:c r="L222" s="16" t="n">
        <x:v>0</x:v>
      </x:c>
      <x:c r="M222" s="21" t="str">
        <x:v>明确回答301产自South Korea，与参考唯一国家一致，句式自然。</x:v>
      </x:c>
      <x:c r="N222" s="2" t="str">
        <x:v>gpt-6.1-sol</x:v>
      </x:c>
      <x:c r="O222" s="2" t="str">
        <x:v>ultra</x:v>
      </x:c>
      <x:c r="P222" s="16"/>
      <x:c r="Q222" s="16"/>
      <x:c r="R222" s="16"/>
      <x:c r="S222" s="16"/>
      <x:c r="T222" s="16"/>
    </x:row>
    <x:row r="223" ht="40" customHeight="1">
      <x:c r="A223" s="16" t="n">
        <x:v>9</x:v>
      </x:c>
      <x:c r="B223" s="2" t="str">
        <x:v>Q488075_P495_1</x:v>
      </x:c>
      <x:c r="C223" s="21" t="str">
        <x:v>What is the country of origin of 301?</x:v>
      </x:c>
      <x:c r="D223" s="21" t="str">
        <x:v>301 originated in South Korea. || The countries of origin of 301 are South Korea.</x:v>
      </x:c>
      <x:c r="E223" s="16" t="n">
        <x:v>2</x:v>
      </x:c>
      <x:c r="F223" s="21" t="str">
        <x:v>301 originated in South Korea.</x:v>
      </x:c>
      <x:c r="G223" s="2" t="str">
        <x:v>B0</x:v>
      </x:c>
      <x:c r="H223" s="2" t="str">
        <x:v>自动评审02</x:v>
      </x:c>
      <x:c r="I223" s="16" t="n">
        <x:v>2</x:v>
      </x:c>
      <x:c r="J223" s="16" t="n">
        <x:v>2</x:v>
      </x:c>
      <x:c r="K223" s="16" t="n">
        <x:v>5</x:v>
      </x:c>
      <x:c r="L223" s="16" t="n">
        <x:v>0</x:v>
      </x:c>
      <x:c r="M223" s="21" t="str">
        <x:v>韩国这一产地完整准确，无额外属性，英语表达清楚。</x:v>
      </x:c>
      <x:c r="N223" s="2" t="str">
        <x:v>gpt-6.1-sol</x:v>
      </x:c>
      <x:c r="O223" s="2" t="str">
        <x:v>ultra</x:v>
      </x:c>
      <x:c r="P223" s="16"/>
      <x:c r="Q223" s="16"/>
      <x:c r="R223" s="16"/>
      <x:c r="S223" s="16"/>
      <x:c r="T223" s="16"/>
    </x:row>
    <x:row r="224" ht="40" customHeight="1">
      <x:c r="A224" s="16" t="n">
        <x:v>10</x:v>
      </x:c>
      <x:c r="B224" s="2" t="str">
        <x:v>Q282781_P57_0</x:v>
      </x:c>
      <x:c r="C224" s="21" t="str">
        <x:v>Who directed Elite Squad?</x:v>
      </x:c>
      <x:c r="D224" s="21" t="str">
        <x:v>Elite Squad was directed by José Padilha. || The director or directors of Elite Squad are José Padilha.</x:v>
      </x:c>
      <x:c r="E224" s="16" t="n">
        <x:v>1</x:v>
      </x:c>
      <x:c r="F224" s="21" t="str">
        <x:v>Elite Squad was directed by José Padilha.</x:v>
      </x:c>
      <x:c r="G224" s="2" t="str">
        <x:v>A0</x:v>
      </x:c>
      <x:c r="H224" s="2" t="str">
        <x:v>自动评审02</x:v>
      </x:c>
      <x:c r="I224" s="16" t="n">
        <x:v>2</x:v>
      </x:c>
      <x:c r="J224" s="16" t="n">
        <x:v>2</x:v>
      </x:c>
      <x:c r="K224" s="16" t="n">
        <x:v>5</x:v>
      </x:c>
      <x:c r="L224" s="16" t="n">
        <x:v>0</x:v>
      </x:c>
      <x:c r="M224" s="21" t="str">
        <x:v>Elite Squad的导演José Padilha准确完整，姓名重音字符正常，句子通顺。</x:v>
      </x:c>
      <x:c r="N224" s="2" t="str">
        <x:v>gpt-6.1-sol</x:v>
      </x:c>
      <x:c r="O224" s="2" t="str">
        <x:v>ultra</x:v>
      </x:c>
      <x:c r="P224" s="16"/>
      <x:c r="Q224" s="16"/>
      <x:c r="R224" s="16"/>
      <x:c r="S224" s="16"/>
      <x:c r="T224" s="16"/>
    </x:row>
    <x:row r="225" ht="40" customHeight="1">
      <x:c r="A225" s="16" t="n">
        <x:v>10</x:v>
      </x:c>
      <x:c r="B225" s="2" t="str">
        <x:v>Q282781_P57_0</x:v>
      </x:c>
      <x:c r="C225" s="21" t="str">
        <x:v>Who directed Elite Squad?</x:v>
      </x:c>
      <x:c r="D225" s="21" t="str">
        <x:v>Elite Squad was directed by José Padilha. || The director or directors of Elite Squad are José Padilha.</x:v>
      </x:c>
      <x:c r="E225" s="16" t="n">
        <x:v>2</x:v>
      </x:c>
      <x:c r="F225" s="21" t="str">
        <x:v>Elite Squad was directed by José Padilha.</x:v>
      </x:c>
      <x:c r="G225" s="2" t="str">
        <x:v>B0</x:v>
      </x:c>
      <x:c r="H225" s="2" t="str">
        <x:v>自动评审02</x:v>
      </x:c>
      <x:c r="I225" s="16" t="n">
        <x:v>2</x:v>
      </x:c>
      <x:c r="J225" s="16" t="n">
        <x:v>2</x:v>
      </x:c>
      <x:c r="K225" s="16" t="n">
        <x:v>5</x:v>
      </x:c>
      <x:c r="L225" s="16" t="n">
        <x:v>0</x:v>
      </x:c>
      <x:c r="M225" s="21" t="str">
        <x:v>导演José Padilha与参考相符，无遗漏，执导关系表达自然。</x:v>
      </x:c>
      <x:c r="N225" s="2" t="str">
        <x:v>gpt-6.1-sol</x:v>
      </x:c>
      <x:c r="O225" s="2" t="str">
        <x:v>ultra</x:v>
      </x:c>
      <x:c r="P225" s="16"/>
      <x:c r="Q225" s="16"/>
      <x:c r="R225" s="16"/>
      <x:c r="S225" s="16"/>
      <x:c r="T225" s="16"/>
    </x:row>
    <x:row r="226" ht="40" customHeight="1">
      <x:c r="A226" s="16" t="n">
        <x:v>11</x:v>
      </x:c>
      <x:c r="B226" s="2" t="str">
        <x:v>Q4739_P364_0</x:v>
      </x:c>
      <x:c r="C226" s="21" t="str">
        <x:v>What is the original language of The Oranges?</x:v>
      </x:c>
      <x:c r="D226" s="21" t="str">
        <x:v>The original languages of The Oranges are English. || The Oranges was originally made in English.</x:v>
      </x:c>
      <x:c r="E226" s="16" t="n">
        <x:v>1</x:v>
      </x:c>
      <x:c r="F226" s="21" t="str">
        <x:v>The original languages of The Oranges are English.</x:v>
      </x:c>
      <x:c r="G226" s="2" t="str">
        <x:v>B0</x:v>
      </x:c>
      <x:c r="H226" s="2" t="str">
        <x:v>自动评审02</x:v>
      </x:c>
      <x:c r="I226" s="16" t="n">
        <x:v>2</x:v>
      </x:c>
      <x:c r="J226" s="16" t="n">
        <x:v>2</x:v>
      </x:c>
      <x:c r="K226" s="16" t="n">
        <x:v>4</x:v>
      </x:c>
      <x:c r="L226" s="16" t="n">
        <x:v>0</x:v>
      </x:c>
      <x:c r="M226" s="21" t="str">
        <x:v>英语语言信息与参考一致且齐全；单一English配复数languages有轻微数的搭配问题。</x:v>
      </x:c>
      <x:c r="N226" s="2" t="str">
        <x:v>gpt-6.1-sol</x:v>
      </x:c>
      <x:c r="O226" s="2" t="str">
        <x:v>ultra</x:v>
      </x:c>
      <x:c r="P226" s="16"/>
      <x:c r="Q226" s="16"/>
      <x:c r="R226" s="16"/>
      <x:c r="S226" s="16"/>
      <x:c r="T226" s="16"/>
    </x:row>
    <x:row r="227" ht="40" customHeight="1">
      <x:c r="A227" s="16" t="n">
        <x:v>11</x:v>
      </x:c>
      <x:c r="B227" s="2" t="str">
        <x:v>Q4739_P364_0</x:v>
      </x:c>
      <x:c r="C227" s="21" t="str">
        <x:v>What is the original language of The Oranges?</x:v>
      </x:c>
      <x:c r="D227" s="21" t="str">
        <x:v>The original languages of The Oranges are English. || The Oranges was originally made in English.</x:v>
      </x:c>
      <x:c r="E227" s="16" t="n">
        <x:v>2</x:v>
      </x:c>
      <x:c r="F227" s="21" t="str">
        <x:v>The original languages of The Oranges are English.</x:v>
      </x:c>
      <x:c r="G227" s="2" t="str">
        <x:v>A0</x:v>
      </x:c>
      <x:c r="H227" s="2" t="str">
        <x:v>自动评审02</x:v>
      </x:c>
      <x:c r="I227" s="16" t="n">
        <x:v>2</x:v>
      </x:c>
      <x:c r="J227" s="16" t="n">
        <x:v>2</x:v>
      </x:c>
      <x:c r="K227" s="16" t="n">
        <x:v>4</x:v>
      </x:c>
      <x:c r="L227" s="16" t="n">
        <x:v>0</x:v>
      </x:c>
      <x:c r="M227" s="21" t="str">
        <x:v>回答The Oranges原始语言English，未加其他事实；复数语言框架略不自然。</x:v>
      </x:c>
      <x:c r="N227" s="2" t="str">
        <x:v>gpt-6.1-sol</x:v>
      </x:c>
      <x:c r="O227" s="2" t="str">
        <x:v>ultra</x:v>
      </x:c>
      <x:c r="P227" s="16"/>
      <x:c r="Q227" s="16"/>
      <x:c r="R227" s="16"/>
      <x:c r="S227" s="16"/>
      <x:c r="T227" s="16"/>
    </x:row>
    <x:row r="228" ht="40" customHeight="1">
      <x:c r="A228" s="16" t="n">
        <x:v>12</x:v>
      </x:c>
      <x:c r="B228" s="2" t="str">
        <x:v>Q16970789_P495_1</x:v>
      </x:c>
      <x:c r="C228" s="21" t="str">
        <x:v>What is the country of origin of American Sniper?</x:v>
      </x:c>
      <x:c r="D228" s="21" t="str">
        <x:v>American Sniper originated in United States. || The countries of origin of American Sniper are United States.</x:v>
      </x:c>
      <x:c r="E228" s="16" t="n">
        <x:v>1</x:v>
      </x:c>
      <x:c r="F228" s="21" t="str">
        <x:v>American Sniper originated in United States.</x:v>
      </x:c>
      <x:c r="G228" s="2" t="str">
        <x:v>A0</x:v>
      </x:c>
      <x:c r="H228" s="2" t="str">
        <x:v>自动评审02</x:v>
      </x:c>
      <x:c r="I228" s="16" t="n">
        <x:v>2</x:v>
      </x:c>
      <x:c r="J228" s="16" t="n">
        <x:v>2</x:v>
      </x:c>
      <x:c r="K228" s="16" t="n">
        <x:v>4</x:v>
      </x:c>
      <x:c r="L228" s="16" t="n">
        <x:v>0</x:v>
      </x:c>
      <x:c r="M228" s="21" t="str">
        <x:v>美国这一唯一产地正确完整；in United States缺少the，理解不受影响。</x:v>
      </x:c>
      <x:c r="N228" s="2" t="str">
        <x:v>gpt-6.1-sol</x:v>
      </x:c>
      <x:c r="O228" s="2" t="str">
        <x:v>ultra</x:v>
      </x:c>
      <x:c r="P228" s="16"/>
      <x:c r="Q228" s="16"/>
      <x:c r="R228" s="16"/>
      <x:c r="S228" s="16"/>
      <x:c r="T228" s="16"/>
    </x:row>
    <x:row r="229" ht="40" customHeight="1">
      <x:c r="A229" s="16" t="n">
        <x:v>12</x:v>
      </x:c>
      <x:c r="B229" s="2" t="str">
        <x:v>Q16970789_P495_1</x:v>
      </x:c>
      <x:c r="C229" s="21" t="str">
        <x:v>What is the country of origin of American Sniper?</x:v>
      </x:c>
      <x:c r="D229" s="21" t="str">
        <x:v>American Sniper originated in United States. || The countries of origin of American Sniper are United States.</x:v>
      </x:c>
      <x:c r="E229" s="16" t="n">
        <x:v>2</x:v>
      </x:c>
      <x:c r="F229" s="21" t="str">
        <x:v>American Sniper originated in United States.</x:v>
      </x:c>
      <x:c r="G229" s="2" t="str">
        <x:v>B0</x:v>
      </x:c>
      <x:c r="H229" s="2" t="str">
        <x:v>自动评审02</x:v>
      </x:c>
      <x:c r="I229" s="16" t="n">
        <x:v>2</x:v>
      </x:c>
      <x:c r="J229" s="16" t="n">
        <x:v>2</x:v>
      </x:c>
      <x:c r="K229" s="16" t="n">
        <x:v>4</x:v>
      </x:c>
      <x:c r="L229" s="16" t="n">
        <x:v>0</x:v>
      </x:c>
      <x:c r="M229" s="21" t="str">
        <x:v>American Sniper对应美国，事实覆盖充分；国家名United States前应加the。</x:v>
      </x:c>
      <x:c r="N229" s="2" t="str">
        <x:v>gpt-6.1-sol</x:v>
      </x:c>
      <x:c r="O229" s="2" t="str">
        <x:v>ultra</x:v>
      </x:c>
      <x:c r="P229" s="16"/>
      <x:c r="Q229" s="16"/>
      <x:c r="R229" s="16"/>
      <x:c r="S229" s="16"/>
      <x:c r="T229" s="16"/>
    </x:row>
    <x:row r="230" ht="40" customHeight="1">
      <x:c r="A230" s="16" t="n">
        <x:v>13</x:v>
      </x:c>
      <x:c r="B230" s="2" t="str">
        <x:v>Q55436290_P364_1</x:v>
      </x:c>
      <x:c r="C230" s="21" t="str">
        <x:v>Which languages was Barbie originally made in?</x:v>
      </x:c>
      <x:c r="D230" s="21" t="str">
        <x:v>The original languages of Barbie are English. || Barbie was originally made in English.</x:v>
      </x:c>
      <x:c r="E230" s="16" t="n">
        <x:v>1</x:v>
      </x:c>
      <x:c r="F230" s="21" t="str">
        <x:v>The original languages of Barbie are English.</x:v>
      </x:c>
      <x:c r="G230" s="2" t="str">
        <x:v>B0</x:v>
      </x:c>
      <x:c r="H230" s="2" t="str">
        <x:v>自动评审02</x:v>
      </x:c>
      <x:c r="I230" s="16" t="n">
        <x:v>2</x:v>
      </x:c>
      <x:c r="J230" s="16" t="n">
        <x:v>2</x:v>
      </x:c>
      <x:c r="K230" s="16" t="n">
        <x:v>4</x:v>
      </x:c>
      <x:c r="L230" s="16" t="n">
        <x:v>0</x:v>
      </x:c>
      <x:c r="M230" s="21" t="str">
        <x:v>Barbie的英语语言信息完整且受参考支持；仅一门语言却用languages…are略显不自然。</x:v>
      </x:c>
      <x:c r="N230" s="2" t="str">
        <x:v>gpt-6.1-sol</x:v>
      </x:c>
      <x:c r="O230" s="2" t="str">
        <x:v>ultra</x:v>
      </x:c>
      <x:c r="P230" s="16"/>
      <x:c r="Q230" s="16"/>
      <x:c r="R230" s="16"/>
      <x:c r="S230" s="16"/>
      <x:c r="T230" s="16"/>
    </x:row>
    <x:row r="231" ht="40" customHeight="1">
      <x:c r="A231" s="16" t="n">
        <x:v>13</x:v>
      </x:c>
      <x:c r="B231" s="2" t="str">
        <x:v>Q55436290_P364_1</x:v>
      </x:c>
      <x:c r="C231" s="21" t="str">
        <x:v>Which languages was Barbie originally made in?</x:v>
      </x:c>
      <x:c r="D231" s="21" t="str">
        <x:v>The original languages of Barbie are English. || Barbie was originally made in English.</x:v>
      </x:c>
      <x:c r="E231" s="16" t="n">
        <x:v>2</x:v>
      </x:c>
      <x:c r="F231" s="21" t="str">
        <x:v>The original languages of Barbie are English.</x:v>
      </x:c>
      <x:c r="G231" s="2" t="str">
        <x:v>A0</x:v>
      </x:c>
      <x:c r="H231" s="2" t="str">
        <x:v>自动评审02</x:v>
      </x:c>
      <x:c r="I231" s="16" t="n">
        <x:v>2</x:v>
      </x:c>
      <x:c r="J231" s="16" t="n">
        <x:v>2</x:v>
      </x:c>
      <x:c r="K231" s="16" t="n">
        <x:v>4</x:v>
      </x:c>
      <x:c r="L231" s="16" t="n">
        <x:v>0</x:v>
      </x:c>
      <x:c r="M231" s="21" t="str">
        <x:v>English准确回答全部语言要求，无新增断言；复数languages用于单项有轻微搭配问题。</x:v>
      </x:c>
      <x:c r="N231" s="2" t="str">
        <x:v>gpt-6.1-sol</x:v>
      </x:c>
      <x:c r="O231" s="2" t="str">
        <x:v>ultra</x:v>
      </x:c>
      <x:c r="P231" s="16"/>
      <x:c r="Q231" s="16"/>
      <x:c r="R231" s="16"/>
      <x:c r="S231" s="16"/>
      <x:c r="T231" s="16"/>
    </x:row>
    <x:row r="232" ht="54" customHeight="1">
      <x:c r="A232" s="16" t="n">
        <x:v>14</x:v>
      </x:c>
      <x:c r="B232" s="2" t="str">
        <x:v>Q602522_P136_0</x:v>
      </x:c>
      <x:c r="C232" s="21" t="str">
        <x:v>What genre is The Eiger Sanction?</x:v>
      </x:c>
      <x:c r="D232" s="21" t="str">
        <x:v>The Eiger Sanction belongs to the following genres: action film and thriller film. || The genres of The Eiger Sanction are action film and thriller film.</x:v>
      </x:c>
      <x:c r="E232" s="16" t="n">
        <x:v>1</x:v>
      </x:c>
      <x:c r="F232" s="21" t="str">
        <x:v>The Eiger Sanction belongs to the following genres: action film and thriller film.</x:v>
      </x:c>
      <x:c r="G232" s="2" t="str">
        <x:v>B0</x:v>
      </x:c>
      <x:c r="H232" s="2" t="str">
        <x:v>自动评审02</x:v>
      </x:c>
      <x:c r="I232" s="16" t="n">
        <x:v>2</x:v>
      </x:c>
      <x:c r="J232" s="16" t="n">
        <x:v>2</x:v>
      </x:c>
      <x:c r="K232" s="16" t="n">
        <x:v>5</x:v>
      </x:c>
      <x:c r="L232" s="16" t="n">
        <x:v>0</x:v>
      </x:c>
      <x:c r="M232" s="21" t="str">
        <x:v>动作片与惊悚片两类均正确给出，涵盖参考，表述自然。</x:v>
      </x:c>
      <x:c r="N232" s="2" t="str">
        <x:v>gpt-6.1-sol</x:v>
      </x:c>
      <x:c r="O232" s="2" t="str">
        <x:v>ultra</x:v>
      </x:c>
      <x:c r="P232" s="16"/>
      <x:c r="Q232" s="16"/>
      <x:c r="R232" s="16"/>
      <x:c r="S232" s="16"/>
      <x:c r="T232" s="16"/>
    </x:row>
    <x:row r="233" ht="54" customHeight="1">
      <x:c r="A233" s="16" t="n">
        <x:v>14</x:v>
      </x:c>
      <x:c r="B233" s="2" t="str">
        <x:v>Q602522_P136_0</x:v>
      </x:c>
      <x:c r="C233" s="21" t="str">
        <x:v>What genre is The Eiger Sanction?</x:v>
      </x:c>
      <x:c r="D233" s="21" t="str">
        <x:v>The Eiger Sanction belongs to the following genres: action film and thriller film. || The genres of The Eiger Sanction are action film and thriller film.</x:v>
      </x:c>
      <x:c r="E233" s="16" t="n">
        <x:v>2</x:v>
      </x:c>
      <x:c r="F233" s="21" t="str">
        <x:v>The Eiger Sanction belongs to the following genres: action film and thriller film.</x:v>
      </x:c>
      <x:c r="G233" s="2" t="str">
        <x:v>A0</x:v>
      </x:c>
      <x:c r="H233" s="2" t="str">
        <x:v>自动评审02</x:v>
      </x:c>
      <x:c r="I233" s="16" t="n">
        <x:v>2</x:v>
      </x:c>
      <x:c r="J233" s="16" t="n">
        <x:v>2</x:v>
      </x:c>
      <x:c r="K233" s="16" t="n">
        <x:v>5</x:v>
      </x:c>
      <x:c r="L233" s="16" t="n">
        <x:v>0</x:v>
      </x:c>
      <x:c r="M233" s="21" t="str">
        <x:v>The Eiger Sanction的action film及thriller film均被列出，无多余事实，清晰流畅。</x:v>
      </x:c>
      <x:c r="N233" s="2" t="str">
        <x:v>gpt-6.1-sol</x:v>
      </x:c>
      <x:c r="O233" s="2" t="str">
        <x:v>ultra</x:v>
      </x:c>
      <x:c r="P233" s="16"/>
      <x:c r="Q233" s="16"/>
      <x:c r="R233" s="16"/>
      <x:c r="S233" s="16"/>
      <x:c r="T233" s="16"/>
    </x:row>
    <x:row r="234" ht="54" customHeight="1">
      <x:c r="A234" s="16" t="n">
        <x:v>15</x:v>
      </x:c>
      <x:c r="B234" s="2" t="str">
        <x:v>Q635632_P136_1</x:v>
      </x:c>
      <x:c r="C234" s="21" t="str">
        <x:v>Which genres does Ocean's Thirteen belong to?</x:v>
      </x:c>
      <x:c r="D234" s="21" t="str">
        <x:v>Ocean's Thirteen belongs to the following genres: comedy film, action film and heist film. || The genres of Ocean's Thirteen are comedy film, action film and heist film.</x:v>
      </x:c>
      <x:c r="E234" s="16" t="n">
        <x:v>1</x:v>
      </x:c>
      <x:c r="F234" s="21" t="str">
        <x:v>Ocean's Thirteen belongs to the following genres: comedy film, action film and heist film.</x:v>
      </x:c>
      <x:c r="G234" s="2" t="str">
        <x:v>A0</x:v>
      </x:c>
      <x:c r="H234" s="2" t="str">
        <x:v>自动评审02</x:v>
      </x:c>
      <x:c r="I234" s="16" t="n">
        <x:v>2</x:v>
      </x:c>
      <x:c r="J234" s="16" t="n">
        <x:v>2</x:v>
      </x:c>
      <x:c r="K234" s="16" t="n">
        <x:v>5</x:v>
      </x:c>
      <x:c r="L234" s="16" t="n">
        <x:v>0</x:v>
      </x:c>
      <x:c r="M234" s="21" t="str">
        <x:v>喜剧片、动作片、劫盗片三种参考类型完整准确，列举连贯。</x:v>
      </x:c>
      <x:c r="N234" s="2" t="str">
        <x:v>gpt-6.1-sol</x:v>
      </x:c>
      <x:c r="O234" s="2" t="str">
        <x:v>ultra</x:v>
      </x:c>
      <x:c r="P234" s="16"/>
      <x:c r="Q234" s="16"/>
      <x:c r="R234" s="16"/>
      <x:c r="S234" s="16"/>
      <x:c r="T234" s="16"/>
    </x:row>
    <x:row r="235" ht="54" customHeight="1">
      <x:c r="A235" s="16" t="n">
        <x:v>15</x:v>
      </x:c>
      <x:c r="B235" s="2" t="str">
        <x:v>Q635632_P136_1</x:v>
      </x:c>
      <x:c r="C235" s="21" t="str">
        <x:v>Which genres does Ocean's Thirteen belong to?</x:v>
      </x:c>
      <x:c r="D235" s="21" t="str">
        <x:v>Ocean's Thirteen belongs to the following genres: comedy film, action film and heist film. || The genres of Ocean's Thirteen are comedy film, action film and heist film.</x:v>
      </x:c>
      <x:c r="E235" s="16" t="n">
        <x:v>2</x:v>
      </x:c>
      <x:c r="F235" s="21" t="str">
        <x:v>Ocean's Thirteen belongs to the following genres: comedy film, action film and heist film.</x:v>
      </x:c>
      <x:c r="G235" s="2" t="str">
        <x:v>B0</x:v>
      </x:c>
      <x:c r="H235" s="2" t="str">
        <x:v>自动评审02</x:v>
      </x:c>
      <x:c r="I235" s="16" t="n">
        <x:v>2</x:v>
      </x:c>
      <x:c r="J235" s="16" t="n">
        <x:v>2</x:v>
      </x:c>
      <x:c r="K235" s="16" t="n">
        <x:v>5</x:v>
      </x:c>
      <x:c r="L235" s="16" t="n">
        <x:v>0</x:v>
      </x:c>
      <x:c r="M235" s="21" t="str">
        <x:v>Ocean's Thirteen对应三项参考类型，既无漏项也无额外类型，英语自然。</x:v>
      </x:c>
      <x:c r="N235" s="2" t="str">
        <x:v>gpt-6.1-sol</x:v>
      </x:c>
      <x:c r="O235" s="2" t="str">
        <x:v>ultra</x:v>
      </x:c>
      <x:c r="P235" s="16"/>
      <x:c r="Q235" s="16"/>
      <x:c r="R235" s="16"/>
      <x:c r="S235" s="16"/>
      <x:c r="T235" s="16"/>
    </x:row>
    <x:row r="236" ht="40" customHeight="1">
      <x:c r="A236" s="16" t="n">
        <x:v>16</x:v>
      </x:c>
      <x:c r="B236" s="2" t="str">
        <x:v>Q1503878_P57_0</x:v>
      </x:c>
      <x:c r="C236" s="21" t="str">
        <x:v>Who directed National Security?</x:v>
      </x:c>
      <x:c r="D236" s="21" t="str">
        <x:v>National Security was directed by Dennis Dugan. || The director or directors of National Security are Dennis Dugan.</x:v>
      </x:c>
      <x:c r="E236" s="16" t="n">
        <x:v>1</x:v>
      </x:c>
      <x:c r="F236" s="21" t="str">
        <x:v>National Security was directed by Dennis Dugan.</x:v>
      </x:c>
      <x:c r="G236" s="2" t="str">
        <x:v>B0</x:v>
      </x:c>
      <x:c r="H236" s="2" t="str">
        <x:v>自动评审02</x:v>
      </x:c>
      <x:c r="I236" s="16" t="n">
        <x:v>2</x:v>
      </x:c>
      <x:c r="J236" s="16" t="n">
        <x:v>2</x:v>
      </x:c>
      <x:c r="K236" s="16" t="n">
        <x:v>5</x:v>
      </x:c>
      <x:c r="L236" s="16" t="n">
        <x:v>0</x:v>
      </x:c>
      <x:c r="M236" s="21" t="str">
        <x:v>Dennis Dugan为参考唯一导演，关系与实体准确，回答完整流畅。</x:v>
      </x:c>
      <x:c r="N236" s="2" t="str">
        <x:v>gpt-6.1-sol</x:v>
      </x:c>
      <x:c r="O236" s="2" t="str">
        <x:v>ultra</x:v>
      </x:c>
      <x:c r="P236" s="16"/>
      <x:c r="Q236" s="16"/>
      <x:c r="R236" s="16"/>
      <x:c r="S236" s="16"/>
      <x:c r="T236" s="16"/>
    </x:row>
    <x:row r="237" ht="40" customHeight="1">
      <x:c r="A237" s="16" t="n">
        <x:v>16</x:v>
      </x:c>
      <x:c r="B237" s="2" t="str">
        <x:v>Q1503878_P57_0</x:v>
      </x:c>
      <x:c r="C237" s="21" t="str">
        <x:v>Who directed National Security?</x:v>
      </x:c>
      <x:c r="D237" s="21" t="str">
        <x:v>National Security was directed by Dennis Dugan. || The director or directors of National Security are Dennis Dugan.</x:v>
      </x:c>
      <x:c r="E237" s="16" t="n">
        <x:v>2</x:v>
      </x:c>
      <x:c r="F237" s="21" t="str">
        <x:v>National Security was directed by Dennis Dugan.</x:v>
      </x:c>
      <x:c r="G237" s="2" t="str">
        <x:v>A0</x:v>
      </x:c>
      <x:c r="H237" s="2" t="str">
        <x:v>自动评审02</x:v>
      </x:c>
      <x:c r="I237" s="16" t="n">
        <x:v>2</x:v>
      </x:c>
      <x:c r="J237" s="16" t="n">
        <x:v>2</x:v>
      </x:c>
      <x:c r="K237" s="16" t="n">
        <x:v>5</x:v>
      </x:c>
      <x:c r="L237" s="16" t="n">
        <x:v>0</x:v>
      </x:c>
      <x:c r="M237" s="21" t="str">
        <x:v>National Security由Dennis Dugan执导这一信息完整且有依据，句子自然。</x:v>
      </x:c>
      <x:c r="N237" s="2" t="str">
        <x:v>gpt-6.1-sol</x:v>
      </x:c>
      <x:c r="O237" s="2" t="str">
        <x:v>ultra</x:v>
      </x:c>
      <x:c r="P237" s="16"/>
      <x:c r="Q237" s="16"/>
      <x:c r="R237" s="16"/>
      <x:c r="S237" s="16"/>
      <x:c r="T237" s="16"/>
    </x:row>
    <x:row r="238" ht="54" customHeight="1">
      <x:c r="A238" s="16" t="n">
        <x:v>17</x:v>
      </x:c>
      <x:c r="B238" s="2" t="str">
        <x:v>Q927919_P57_2</x:v>
      </x:c>
      <x:c r="C238" s="21" t="str">
        <x:v>Name the director or directors of The Phantom of the Opera (1925).</x:v>
      </x:c>
      <x:c r="D238" s="21" t="str">
        <x:v>The Phantom of the Opera was directed by Lon Chaney, Edward Sedgwick and Rupert Julian. || The director or directors of The Phantom of the Opera are Lon Chaney, Edward Sedgwick and Rupert Julian.</x:v>
      </x:c>
      <x:c r="E238" s="16" t="n">
        <x:v>1</x:v>
      </x:c>
      <x:c r="F238" s="21" t="str">
        <x:v>The Phantom of the Opera was directed by Lon Chaney, Edward Sedgwick and Rupert Julian.</x:v>
      </x:c>
      <x:c r="G238" s="2" t="str">
        <x:v>B0</x:v>
      </x:c>
      <x:c r="H238" s="2" t="str">
        <x:v>自动评审02</x:v>
      </x:c>
      <x:c r="I238" s="16" t="n">
        <x:v>2</x:v>
      </x:c>
      <x:c r="J238" s="16" t="n">
        <x:v>2</x:v>
      </x:c>
      <x:c r="K238" s="16" t="n">
        <x:v>5</x:v>
      </x:c>
      <x:c r="L238" s="16" t="n">
        <x:v>0</x:v>
      </x:c>
      <x:c r="M238" s="21" t="str">
        <x:v>参考所列Lon Chaney、Edward Sedgwick、Rupert Julian三人全部覆盖，句子清楚。</x:v>
      </x:c>
      <x:c r="N238" s="2" t="str">
        <x:v>gpt-6.1-sol</x:v>
      </x:c>
      <x:c r="O238" s="2" t="str">
        <x:v>ultra</x:v>
      </x:c>
      <x:c r="P238" s="16"/>
      <x:c r="Q238" s="16"/>
      <x:c r="R238" s="16"/>
      <x:c r="S238" s="16"/>
      <x:c r="T238" s="16"/>
    </x:row>
    <x:row r="239" ht="54" customHeight="1">
      <x:c r="A239" s="16" t="n">
        <x:v>17</x:v>
      </x:c>
      <x:c r="B239" s="2" t="str">
        <x:v>Q927919_P57_2</x:v>
      </x:c>
      <x:c r="C239" s="21" t="str">
        <x:v>Name the director or directors of The Phantom of the Opera (1925).</x:v>
      </x:c>
      <x:c r="D239" s="21" t="str">
        <x:v>The Phantom of the Opera was directed by Lon Chaney, Edward Sedgwick and Rupert Julian. || The director or directors of The Phantom of the Opera are Lon Chaney, Edward Sedgwick and Rupert Julian.</x:v>
      </x:c>
      <x:c r="E239" s="16" t="n">
        <x:v>2</x:v>
      </x:c>
      <x:c r="F239" s="21" t="str">
        <x:v>The Phantom of the Opera was directed by Lon Chaney, Edward Sedgwick and Rupert Julian.</x:v>
      </x:c>
      <x:c r="G239" s="2" t="str">
        <x:v>A0</x:v>
      </x:c>
      <x:c r="H239" s="2" t="str">
        <x:v>自动评审02</x:v>
      </x:c>
      <x:c r="I239" s="16" t="n">
        <x:v>2</x:v>
      </x:c>
      <x:c r="J239" s="16" t="n">
        <x:v>2</x:v>
      </x:c>
      <x:c r="K239" s="16" t="n">
        <x:v>5</x:v>
      </x:c>
      <x:c r="L239" s="16" t="n">
        <x:v>0</x:v>
      </x:c>
      <x:c r="M239" s="21" t="str">
        <x:v>按给定参考，三位导演姓名及执导关系均准确齐全，未增加库外事实。</x:v>
      </x:c>
      <x:c r="N239" s="2" t="str">
        <x:v>gpt-6.1-sol</x:v>
      </x:c>
      <x:c r="O239" s="2" t="str">
        <x:v>ultra</x:v>
      </x:c>
      <x:c r="P239" s="16"/>
      <x:c r="Q239" s="16"/>
      <x:c r="R239" s="16"/>
      <x:c r="S239" s="16"/>
      <x:c r="T239" s="16"/>
    </x:row>
    <x:row r="240" ht="68" customHeight="1">
      <x:c r="A240" s="16" t="n">
        <x:v>18</x:v>
      </x:c>
      <x:c r="B240" s="2" t="str">
        <x:v>Q369683_P136_2</x:v>
      </x:c>
      <x:c r="C240" s="21" t="str">
        <x:v>Name the genre or genres of Once Upon a Time There Lived a Simple Woman.</x:v>
      </x:c>
      <x:c r="D240" s="21" t="str">
        <x:v>Once Upon a Time There Lived a Simple Woman belongs to the following genres: drama film, war film and historical drama. || The genres of Once Upon a Time There Lived a Simple Woman are drama film, war film and historical drama.</x:v>
      </x:c>
      <x:c r="E240" s="16" t="n">
        <x:v>1</x:v>
      </x:c>
      <x:c r="F240" s="21" t="str">
        <x:v>Once Upon a Time There Lived a Simple Woman belongs to the following genres: drama film, war film and historical drama.</x:v>
      </x:c>
      <x:c r="G240" s="2" t="str">
        <x:v>B0</x:v>
      </x:c>
      <x:c r="H240" s="2" t="str">
        <x:v>自动评审02</x:v>
      </x:c>
      <x:c r="I240" s="16" t="n">
        <x:v>2</x:v>
      </x:c>
      <x:c r="J240" s="16" t="n">
        <x:v>2</x:v>
      </x:c>
      <x:c r="K240" s="16" t="n">
        <x:v>5</x:v>
      </x:c>
      <x:c r="L240" s="16" t="n">
        <x:v>0</x:v>
      </x:c>
      <x:c r="M240" s="21" t="str">
        <x:v>剧情片、战争片和历史剧三项均与参考一致，完整列举且语法通顺。</x:v>
      </x:c>
      <x:c r="N240" s="2" t="str">
        <x:v>gpt-6.1-sol</x:v>
      </x:c>
      <x:c r="O240" s="2" t="str">
        <x:v>ultra</x:v>
      </x:c>
      <x:c r="P240" s="16"/>
      <x:c r="Q240" s="16"/>
      <x:c r="R240" s="16"/>
      <x:c r="S240" s="16"/>
      <x:c r="T240" s="16"/>
    </x:row>
    <x:row r="241" ht="68" customHeight="1">
      <x:c r="A241" s="16" t="n">
        <x:v>18</x:v>
      </x:c>
      <x:c r="B241" s="2" t="str">
        <x:v>Q369683_P136_2</x:v>
      </x:c>
      <x:c r="C241" s="21" t="str">
        <x:v>Name the genre or genres of Once Upon a Time There Lived a Simple Woman.</x:v>
      </x:c>
      <x:c r="D241" s="21" t="str">
        <x:v>Once Upon a Time There Lived a Simple Woman belongs to the following genres: drama film, war film and historical drama. || The genres of Once Upon a Time There Lived a Simple Woman are drama film, war film and historical drama.</x:v>
      </x:c>
      <x:c r="E241" s="16" t="n">
        <x:v>2</x:v>
      </x:c>
      <x:c r="F241" s="21" t="str">
        <x:v>Once Upon a Time There Lived a Simple Woman belongs to the following genres: drama film, war film and historical drama.</x:v>
      </x:c>
      <x:c r="G241" s="2" t="str">
        <x:v>A0</x:v>
      </x:c>
      <x:c r="H241" s="2" t="str">
        <x:v>自动评审02</x:v>
      </x:c>
      <x:c r="I241" s="16" t="n">
        <x:v>2</x:v>
      </x:c>
      <x:c r="J241" s="16" t="n">
        <x:v>2</x:v>
      </x:c>
      <x:c r="K241" s="16" t="n">
        <x:v>5</x:v>
      </x:c>
      <x:c r="L241" s="16" t="n">
        <x:v>0</x:v>
      </x:c>
      <x:c r="M241" s="21" t="str">
        <x:v>该片的三种参考类型全部给出，信息明确，长片名不妨碍句意。</x:v>
      </x:c>
      <x:c r="N241" s="2" t="str">
        <x:v>gpt-6.1-sol</x:v>
      </x:c>
      <x:c r="O241" s="2" t="str">
        <x:v>ultra</x:v>
      </x:c>
      <x:c r="P241" s="16"/>
      <x:c r="Q241" s="16"/>
      <x:c r="R241" s="16"/>
      <x:c r="S241" s="16"/>
      <x:c r="T241" s="16"/>
    </x:row>
    <x:row r="242" ht="40" customHeight="1">
      <x:c r="A242" s="16" t="n">
        <x:v>19</x:v>
      </x:c>
      <x:c r="B242" s="2" t="str">
        <x:v>Q116426_P364_0</x:v>
      </x:c>
      <x:c r="C242" s="21" t="str">
        <x:v>What is the original language of De Lift?</x:v>
      </x:c>
      <x:c r="D242" s="21" t="str">
        <x:v>The original languages of De Lift are Dutch. || De Lift was originally made in Dutch.</x:v>
      </x:c>
      <x:c r="E242" s="16" t="n">
        <x:v>1</x:v>
      </x:c>
      <x:c r="F242" s="21" t="str">
        <x:v>The original languages of De Lift are Dutch.</x:v>
      </x:c>
      <x:c r="G242" s="2" t="str">
        <x:v>A0</x:v>
      </x:c>
      <x:c r="H242" s="2" t="str">
        <x:v>自动评审02</x:v>
      </x:c>
      <x:c r="I242" s="16" t="n">
        <x:v>2</x:v>
      </x:c>
      <x:c r="J242" s="16" t="n">
        <x:v>2</x:v>
      </x:c>
      <x:c r="K242" s="16" t="n">
        <x:v>4</x:v>
      </x:c>
      <x:c r="L242" s="16" t="n">
        <x:v>0</x:v>
      </x:c>
      <x:c r="M242" s="21" t="str">
        <x:v>Dutch准确覆盖参考语言；单一语言使用复数languages…are略显生硬。</x:v>
      </x:c>
      <x:c r="N242" s="2" t="str">
        <x:v>gpt-6.1-sol</x:v>
      </x:c>
      <x:c r="O242" s="2" t="str">
        <x:v>ultra</x:v>
      </x:c>
      <x:c r="P242" s="16"/>
      <x:c r="Q242" s="16"/>
      <x:c r="R242" s="16"/>
      <x:c r="S242" s="16"/>
      <x:c r="T242" s="16"/>
    </x:row>
    <x:row r="243" ht="40" customHeight="1">
      <x:c r="A243" s="16" t="n">
        <x:v>19</x:v>
      </x:c>
      <x:c r="B243" s="2" t="str">
        <x:v>Q116426_P364_0</x:v>
      </x:c>
      <x:c r="C243" s="21" t="str">
        <x:v>What is the original language of De Lift?</x:v>
      </x:c>
      <x:c r="D243" s="21" t="str">
        <x:v>The original languages of De Lift are Dutch. || De Lift was originally made in Dutch.</x:v>
      </x:c>
      <x:c r="E243" s="16" t="n">
        <x:v>2</x:v>
      </x:c>
      <x:c r="F243" s="21" t="str">
        <x:v>The original languages of De Lift are Dutch.</x:v>
      </x:c>
      <x:c r="G243" s="2" t="str">
        <x:v>B0</x:v>
      </x:c>
      <x:c r="H243" s="2" t="str">
        <x:v>自动评审02</x:v>
      </x:c>
      <x:c r="I243" s="16" t="n">
        <x:v>2</x:v>
      </x:c>
      <x:c r="J243" s="16" t="n">
        <x:v>2</x:v>
      </x:c>
      <x:c r="K243" s="16" t="n">
        <x:v>4</x:v>
      </x:c>
      <x:c r="L243" s="16" t="n">
        <x:v>0</x:v>
      </x:c>
      <x:c r="M243" s="21" t="str">
        <x:v>De Lift的荷兰语信息正确完整，无新增断言；语言的单复数搭配稍不自然。</x:v>
      </x:c>
      <x:c r="N243" s="2" t="str">
        <x:v>gpt-6.1-sol</x:v>
      </x:c>
      <x:c r="O243" s="2" t="str">
        <x:v>ultra</x:v>
      </x:c>
      <x:c r="P243" s="16"/>
      <x:c r="Q243" s="16"/>
      <x:c r="R243" s="16"/>
      <x:c r="S243" s="16"/>
      <x:c r="T243" s="16"/>
    </x:row>
    <x:row r="244" ht="54" customHeight="1">
      <x:c r="A244" s="16" t="n">
        <x:v>20</x:v>
      </x:c>
      <x:c r="B244" s="2" t="str">
        <x:v>Q124246470_P495_2</x:v>
      </x:c>
      <x:c r="C244" s="21" t="str">
        <x:v>Name the countries of origin of Karate Kid: Legends.</x:v>
      </x:c>
      <x:c r="D244" s="21" t="str">
        <x:v>Karate Kid: Legends originated in Canada, United States and People's Republic of China. || The countries of origin of Karate Kid: Legends are Canada, United States and People's Republic of China.</x:v>
      </x:c>
      <x:c r="E244" s="16" t="n">
        <x:v>1</x:v>
      </x:c>
      <x:c r="F244" s="21" t="str">
        <x:v>Karate Kid: Legends originated in Canada, United States and People's Republic of China.</x:v>
      </x:c>
      <x:c r="G244" s="2" t="str">
        <x:v>A0</x:v>
      </x:c>
      <x:c r="H244" s="2" t="str">
        <x:v>自动评审02</x:v>
      </x:c>
      <x:c r="I244" s="16" t="n">
        <x:v>2</x:v>
      </x:c>
      <x:c r="J244" s="16" t="n">
        <x:v>2</x:v>
      </x:c>
      <x:c r="K244" s="16" t="n">
        <x:v>4</x:v>
      </x:c>
      <x:c r="L244" s="16" t="n">
        <x:v>0</x:v>
      </x:c>
      <x:c r="M244" s="21" t="str">
        <x:v>加拿大、美国、中国三国产地均覆盖参考；United States及People's Republic of China前漏the。</x:v>
      </x:c>
      <x:c r="N244" s="2" t="str">
        <x:v>gpt-6.1-sol</x:v>
      </x:c>
      <x:c r="O244" s="2" t="str">
        <x:v>ultra</x:v>
      </x:c>
      <x:c r="P244" s="16"/>
      <x:c r="Q244" s="16"/>
      <x:c r="R244" s="16"/>
      <x:c r="S244" s="16"/>
      <x:c r="T244" s="16"/>
    </x:row>
    <x:row r="245" ht="54" customHeight="1">
      <x:c r="A245" s="16" t="n">
        <x:v>20</x:v>
      </x:c>
      <x:c r="B245" s="2" t="str">
        <x:v>Q124246470_P495_2</x:v>
      </x:c>
      <x:c r="C245" s="21" t="str">
        <x:v>Name the countries of origin of Karate Kid: Legends.</x:v>
      </x:c>
      <x:c r="D245" s="21" t="str">
        <x:v>Karate Kid: Legends originated in Canada, United States and People's Republic of China. || The countries of origin of Karate Kid: Legends are Canada, United States and People's Republic of China.</x:v>
      </x:c>
      <x:c r="E245" s="16" t="n">
        <x:v>2</x:v>
      </x:c>
      <x:c r="F245" s="21" t="str">
        <x:v>Karate Kid: Legends originated in Canada, United States and People's Republic of China.</x:v>
      </x:c>
      <x:c r="G245" s="2" t="str">
        <x:v>B0</x:v>
      </x:c>
      <x:c r="H245" s="2" t="str">
        <x:v>自动评审02</x:v>
      </x:c>
      <x:c r="I245" s="16" t="n">
        <x:v>2</x:v>
      </x:c>
      <x:c r="J245" s="16" t="n">
        <x:v>2</x:v>
      </x:c>
      <x:c r="K245" s="16" t="n">
        <x:v>4</x:v>
      </x:c>
      <x:c r="L245" s="16" t="n">
        <x:v>0</x:v>
      </x:c>
      <x:c r="M245" s="21" t="str">
        <x:v>产地三项与参考一致，无遗漏或扩展；部分国家名称前缺少定冠词。</x:v>
      </x:c>
      <x:c r="N245" s="2" t="str">
        <x:v>gpt-6.1-sol</x:v>
      </x:c>
      <x:c r="O245" s="2" t="str">
        <x:v>ultra</x:v>
      </x:c>
      <x:c r="P245" s="16"/>
      <x:c r="Q245" s="16"/>
      <x:c r="R245" s="16"/>
      <x:c r="S245" s="16"/>
      <x:c r="T245" s="16"/>
    </x:row>
    <x:row r="246" ht="40" customHeight="1">
      <x:c r="A246" s="16" t="n">
        <x:v>21</x:v>
      </x:c>
      <x:c r="B246" s="2" t="str">
        <x:v>Q1075182_P57_1</x:v>
      </x:c>
      <x:c r="C246" s="21" t="str">
        <x:v>Who was the director of Chloe?</x:v>
      </x:c>
      <x:c r="D246" s="21" t="str">
        <x:v>Chloe was directed by Atom Egoyan. || The director or directors of Chloe are Atom Egoyan.</x:v>
      </x:c>
      <x:c r="E246" s="16" t="n">
        <x:v>1</x:v>
      </x:c>
      <x:c r="F246" s="21" t="str">
        <x:v>Chloe was directed by Atom Egoyan.</x:v>
      </x:c>
      <x:c r="G246" s="2" t="str">
        <x:v>B0</x:v>
      </x:c>
      <x:c r="H246" s="2" t="str">
        <x:v>自动评审02</x:v>
      </x:c>
      <x:c r="I246" s="16" t="n">
        <x:v>2</x:v>
      </x:c>
      <x:c r="J246" s="16" t="n">
        <x:v>2</x:v>
      </x:c>
      <x:c r="K246" s="16" t="n">
        <x:v>5</x:v>
      </x:c>
      <x:c r="L246" s="16" t="n">
        <x:v>0</x:v>
      </x:c>
      <x:c r="M246" s="21" t="str">
        <x:v>Chloe的导演Atom Egoyan与参考一致，唯一导演完整给出，表达自然。</x:v>
      </x:c>
      <x:c r="N246" s="2" t="str">
        <x:v>gpt-6.1-sol</x:v>
      </x:c>
      <x:c r="O246" s="2" t="str">
        <x:v>ultra</x:v>
      </x:c>
      <x:c r="P246" s="16"/>
      <x:c r="Q246" s="16"/>
      <x:c r="R246" s="16"/>
      <x:c r="S246" s="16"/>
      <x:c r="T246" s="16"/>
    </x:row>
    <x:row r="247" ht="40" customHeight="1">
      <x:c r="A247" s="16" t="n">
        <x:v>21</x:v>
      </x:c>
      <x:c r="B247" s="2" t="str">
        <x:v>Q1075182_P57_1</x:v>
      </x:c>
      <x:c r="C247" s="21" t="str">
        <x:v>Who was the director of Chloe?</x:v>
      </x:c>
      <x:c r="D247" s="21" t="str">
        <x:v>Chloe was directed by Atom Egoyan. || The director or directors of Chloe are Atom Egoyan.</x:v>
      </x:c>
      <x:c r="E247" s="16" t="n">
        <x:v>2</x:v>
      </x:c>
      <x:c r="F247" s="21" t="str">
        <x:v>Chloe was directed by Atom Egoyan.</x:v>
      </x:c>
      <x:c r="G247" s="2" t="str">
        <x:v>A0</x:v>
      </x:c>
      <x:c r="H247" s="2" t="str">
        <x:v>自动评审02</x:v>
      </x:c>
      <x:c r="I247" s="16" t="n">
        <x:v>2</x:v>
      </x:c>
      <x:c r="J247" s="16" t="n">
        <x:v>2</x:v>
      </x:c>
      <x:c r="K247" s="16" t="n">
        <x:v>5</x:v>
      </x:c>
      <x:c r="L247" s="16" t="n">
        <x:v>0</x:v>
      </x:c>
      <x:c r="M247" s="21" t="str">
        <x:v>准确指出Atom Egoyan执导Chloe，实体与关系均齐全，句子清楚。</x:v>
      </x:c>
      <x:c r="N247" s="2" t="str">
        <x:v>gpt-6.1-sol</x:v>
      </x:c>
      <x:c r="O247" s="2" t="str">
        <x:v>ultra</x:v>
      </x:c>
      <x:c r="P247" s="16"/>
      <x:c r="Q247" s="16"/>
      <x:c r="R247" s="16"/>
      <x:c r="S247" s="16"/>
      <x:c r="T247" s="16"/>
    </x:row>
    <x:row r="248" ht="54" customHeight="1">
      <x:c r="A248" s="16" t="n">
        <x:v>22</x:v>
      </x:c>
      <x:c r="B248" s="2" t="str">
        <x:v>Q512475_P495_1</x:v>
      </x:c>
      <x:c r="C248" s="21" t="str">
        <x:v>What is the country of origin of Nicholas and Alexandra?</x:v>
      </x:c>
      <x:c r="D248" s="21" t="str">
        <x:v>Nicholas and Alexandra originated in United States and United Kingdom. || The countries of origin of Nicholas and Alexandra are United States and United Kingdom.</x:v>
      </x:c>
      <x:c r="E248" s="16" t="n">
        <x:v>1</x:v>
      </x:c>
      <x:c r="F248" s="21" t="str">
        <x:v>Nicholas and Alexandra originated in United States and United Kingdom.</x:v>
      </x:c>
      <x:c r="G248" s="2" t="str">
        <x:v>A0</x:v>
      </x:c>
      <x:c r="H248" s="2" t="str">
        <x:v>自动评审02</x:v>
      </x:c>
      <x:c r="I248" s="16" t="n">
        <x:v>2</x:v>
      </x:c>
      <x:c r="J248" s="16" t="n">
        <x:v>2</x:v>
      </x:c>
      <x:c r="K248" s="16" t="n">
        <x:v>4</x:v>
      </x:c>
      <x:c r="L248" s="16" t="n">
        <x:v>0</x:v>
      </x:c>
      <x:c r="M248" s="21" t="str">
        <x:v>美国、英国两国产地完整准确；两个国家名称前均漏定冠词the。</x:v>
      </x:c>
      <x:c r="N248" s="2" t="str">
        <x:v>gpt-6.1-sol</x:v>
      </x:c>
      <x:c r="O248" s="2" t="str">
        <x:v>ultra</x:v>
      </x:c>
      <x:c r="P248" s="16"/>
      <x:c r="Q248" s="16"/>
      <x:c r="R248" s="16"/>
      <x:c r="S248" s="16"/>
      <x:c r="T248" s="16"/>
    </x:row>
    <x:row r="249" ht="54" customHeight="1">
      <x:c r="A249" s="16" t="n">
        <x:v>22</x:v>
      </x:c>
      <x:c r="B249" s="2" t="str">
        <x:v>Q512475_P495_1</x:v>
      </x:c>
      <x:c r="C249" s="21" t="str">
        <x:v>What is the country of origin of Nicholas and Alexandra?</x:v>
      </x:c>
      <x:c r="D249" s="21" t="str">
        <x:v>Nicholas and Alexandra originated in United States and United Kingdom. || The countries of origin of Nicholas and Alexandra are United States and United Kingdom.</x:v>
      </x:c>
      <x:c r="E249" s="16" t="n">
        <x:v>2</x:v>
      </x:c>
      <x:c r="F249" s="21" t="str">
        <x:v>Nicholas and Alexandra originated in United States and United Kingdom.</x:v>
      </x:c>
      <x:c r="G249" s="2" t="str">
        <x:v>B0</x:v>
      </x:c>
      <x:c r="H249" s="2" t="str">
        <x:v>自动评审02</x:v>
      </x:c>
      <x:c r="I249" s="16" t="n">
        <x:v>2</x:v>
      </x:c>
      <x:c r="J249" s="16" t="n">
        <x:v>2</x:v>
      </x:c>
      <x:c r="K249" s="16" t="n">
        <x:v>4</x:v>
      </x:c>
      <x:c r="L249" s="16" t="n">
        <x:v>0</x:v>
      </x:c>
      <x:c r="M249" s="21" t="str">
        <x:v>覆盖United States和United Kingdom，未增加产地；缺少国家名惯用的the。</x:v>
      </x:c>
      <x:c r="N249" s="2" t="str">
        <x:v>gpt-6.1-sol</x:v>
      </x:c>
      <x:c r="O249" s="2" t="str">
        <x:v>ultra</x:v>
      </x:c>
      <x:c r="P249" s="16"/>
      <x:c r="Q249" s="16"/>
      <x:c r="R249" s="16"/>
      <x:c r="S249" s="16"/>
      <x:c r="T249" s="16"/>
    </x:row>
    <x:row r="250" ht="54" customHeight="1">
      <x:c r="A250" s="16" t="n">
        <x:v>23</x:v>
      </x:c>
      <x:c r="B250" s="2" t="str">
        <x:v>Q27958314_P136_2</x:v>
      </x:c>
      <x:c r="C250" s="21" t="str">
        <x:v>Name the genre or genres of Who Gets the Dog?.</x:v>
      </x:c>
      <x:c r="D250" s="21" t="str">
        <x:v>Who Gets the Dog? belongs to the following genres: comedy film and romantic comedy. || The genres of Who Gets the Dog? are comedy film and romantic comedy.</x:v>
      </x:c>
      <x:c r="E250" s="16" t="n">
        <x:v>1</x:v>
      </x:c>
      <x:c r="F250" s="21" t="str">
        <x:v>Who Gets the Dog? belongs to the following genres: comedy film and romantic comedy.</x:v>
      </x:c>
      <x:c r="G250" s="2" t="str">
        <x:v>A0</x:v>
      </x:c>
      <x:c r="H250" s="2" t="str">
        <x:v>自动评审02</x:v>
      </x:c>
      <x:c r="I250" s="16" t="n">
        <x:v>2</x:v>
      </x:c>
      <x:c r="J250" s="16" t="n">
        <x:v>2</x:v>
      </x:c>
      <x:c r="K250" s="16" t="n">
        <x:v>5</x:v>
      </x:c>
      <x:c r="L250" s="16" t="n">
        <x:v>0</x:v>
      </x:c>
      <x:c r="M250" s="21" t="str">
        <x:v>喜剧片和浪漫喜剧两项均与参考一致，列举完整；问号属于片名，不影响语义。</x:v>
      </x:c>
      <x:c r="N250" s="2" t="str">
        <x:v>gpt-6.1-sol</x:v>
      </x:c>
      <x:c r="O250" s="2" t="str">
        <x:v>ultra</x:v>
      </x:c>
      <x:c r="P250" s="16"/>
      <x:c r="Q250" s="16"/>
      <x:c r="R250" s="16"/>
      <x:c r="S250" s="16"/>
      <x:c r="T250" s="16"/>
    </x:row>
    <x:row r="251" ht="54" customHeight="1">
      <x:c r="A251" s="16" t="n">
        <x:v>23</x:v>
      </x:c>
      <x:c r="B251" s="2" t="str">
        <x:v>Q27958314_P136_2</x:v>
      </x:c>
      <x:c r="C251" s="21" t="str">
        <x:v>Name the genre or genres of Who Gets the Dog?.</x:v>
      </x:c>
      <x:c r="D251" s="21" t="str">
        <x:v>Who Gets the Dog? belongs to the following genres: comedy film and romantic comedy. || The genres of Who Gets the Dog? are comedy film and romantic comedy.</x:v>
      </x:c>
      <x:c r="E251" s="16" t="n">
        <x:v>2</x:v>
      </x:c>
      <x:c r="F251" s="21" t="str">
        <x:v>Who Gets the Dog? belongs to the following genres: comedy film and romantic comedy.</x:v>
      </x:c>
      <x:c r="G251" s="2" t="str">
        <x:v>B0</x:v>
      </x:c>
      <x:c r="H251" s="2" t="str">
        <x:v>自动评审02</x:v>
      </x:c>
      <x:c r="I251" s="16" t="n">
        <x:v>2</x:v>
      </x:c>
      <x:c r="J251" s="16" t="n">
        <x:v>2</x:v>
      </x:c>
      <x:c r="K251" s="16" t="n">
        <x:v>5</x:v>
      </x:c>
      <x:c r="L251" s="16" t="n">
        <x:v>0</x:v>
      </x:c>
      <x:c r="M251" s="21" t="str">
        <x:v>准确列出comedy film及romantic comedy，片名含问号仍能清楚理解，句式自然。</x:v>
      </x:c>
      <x:c r="N251" s="2" t="str">
        <x:v>gpt-6.1-sol</x:v>
      </x:c>
      <x:c r="O251" s="2" t="str">
        <x:v>ultra</x:v>
      </x:c>
      <x:c r="P251" s="16"/>
      <x:c r="Q251" s="16"/>
      <x:c r="R251" s="16"/>
      <x:c r="S251" s="16"/>
      <x:c r="T251" s="16"/>
    </x:row>
    <x:row r="252" ht="40" customHeight="1">
      <x:c r="A252" s="16" t="n">
        <x:v>24</x:v>
      </x:c>
      <x:c r="B252" s="2" t="str">
        <x:v>Q1434610_P364_1</x:v>
      </x:c>
      <x:c r="C252" s="21" t="str">
        <x:v>Which languages was The Racket originally made in?</x:v>
      </x:c>
      <x:c r="D252" s="21" t="str">
        <x:v>The original languages of The Racket are English. || The Racket was originally made in English.</x:v>
      </x:c>
      <x:c r="E252" s="16" t="n">
        <x:v>1</x:v>
      </x:c>
      <x:c r="F252" s="21" t="str">
        <x:v>The original languages of The Racket are English.</x:v>
      </x:c>
      <x:c r="G252" s="2" t="str">
        <x:v>B0</x:v>
      </x:c>
      <x:c r="H252" s="2" t="str">
        <x:v>自动评审02</x:v>
      </x:c>
      <x:c r="I252" s="16" t="n">
        <x:v>2</x:v>
      </x:c>
      <x:c r="J252" s="16" t="n">
        <x:v>2</x:v>
      </x:c>
      <x:c r="K252" s="16" t="n">
        <x:v>4</x:v>
      </x:c>
      <x:c r="L252" s="16" t="n">
        <x:v>0</x:v>
      </x:c>
      <x:c r="M252" s="21" t="str">
        <x:v>The Racket的English语言信息完整；单一语言使用复数languages…are稍不自然。</x:v>
      </x:c>
      <x:c r="N252" s="2" t="str">
        <x:v>gpt-6.1-sol</x:v>
      </x:c>
      <x:c r="O252" s="2" t="str">
        <x:v>ultra</x:v>
      </x:c>
      <x:c r="P252" s="16"/>
      <x:c r="Q252" s="16"/>
      <x:c r="R252" s="16"/>
      <x:c r="S252" s="16"/>
      <x:c r="T252" s="16"/>
    </x:row>
    <x:row r="253" ht="40" customHeight="1">
      <x:c r="A253" s="16" t="n">
        <x:v>24</x:v>
      </x:c>
      <x:c r="B253" s="2" t="str">
        <x:v>Q1434610_P364_1</x:v>
      </x:c>
      <x:c r="C253" s="21" t="str">
        <x:v>Which languages was The Racket originally made in?</x:v>
      </x:c>
      <x:c r="D253" s="21" t="str">
        <x:v>The original languages of The Racket are English. || The Racket was originally made in English.</x:v>
      </x:c>
      <x:c r="E253" s="16" t="n">
        <x:v>2</x:v>
      </x:c>
      <x:c r="F253" s="21" t="str">
        <x:v>The original languages of The Racket are English.</x:v>
      </x:c>
      <x:c r="G253" s="2" t="str">
        <x:v>A0</x:v>
      </x:c>
      <x:c r="H253" s="2" t="str">
        <x:v>自动评审02</x:v>
      </x:c>
      <x:c r="I253" s="16" t="n">
        <x:v>2</x:v>
      </x:c>
      <x:c r="J253" s="16" t="n">
        <x:v>2</x:v>
      </x:c>
      <x:c r="K253" s="16" t="n">
        <x:v>4</x:v>
      </x:c>
      <x:c r="L253" s="16" t="n">
        <x:v>0</x:v>
      </x:c>
      <x:c r="M253" s="21" t="str">
        <x:v>英语是参考唯一语言，已准确给出，无新增事实；复数语言表达略显生硬。</x:v>
      </x:c>
      <x:c r="N253" s="2" t="str">
        <x:v>gpt-6.1-sol</x:v>
      </x:c>
      <x:c r="O253" s="2" t="str">
        <x:v>ultra</x:v>
      </x:c>
      <x:c r="P253" s="16"/>
      <x:c r="Q253" s="16"/>
      <x:c r="R253" s="16"/>
      <x:c r="S253" s="16"/>
      <x:c r="T253" s="16"/>
    </x:row>
    <x:row r="254" ht="40" customHeight="1">
      <x:c r="A254" s="16" t="n">
        <x:v>25</x:v>
      </x:c>
      <x:c r="B254" s="2" t="str">
        <x:v>Q1166161_P57_2</x:v>
      </x:c>
      <x:c r="C254" s="21" t="str">
        <x:v>Name the director or directors of Wrong Turn 2: Dead End.</x:v>
      </x:c>
      <x:c r="D254" s="21" t="str">
        <x:v>Wrong Turn 2: Dead End was directed by Joe Lynch. || The director or directors of Wrong Turn 2: Dead End are Joe Lynch.</x:v>
      </x:c>
      <x:c r="E254" s="16" t="n">
        <x:v>1</x:v>
      </x:c>
      <x:c r="F254" s="21" t="str">
        <x:v>Wrong Turn 2: Dead End was directed by Joe Lynch.</x:v>
      </x:c>
      <x:c r="G254" s="2" t="str">
        <x:v>B0</x:v>
      </x:c>
      <x:c r="H254" s="2" t="str">
        <x:v>自动评审02</x:v>
      </x:c>
      <x:c r="I254" s="16" t="n">
        <x:v>2</x:v>
      </x:c>
      <x:c r="J254" s="16" t="n">
        <x:v>2</x:v>
      </x:c>
      <x:c r="K254" s="16" t="n">
        <x:v>5</x:v>
      </x:c>
      <x:c r="L254" s="16" t="n">
        <x:v>0</x:v>
      </x:c>
      <x:c r="M254" s="21" t="str">
        <x:v>Joe Lynch这一导演与参考相符且完整，片名与执导关系清楚。</x:v>
      </x:c>
      <x:c r="N254" s="2" t="str">
        <x:v>gpt-6.1-sol</x:v>
      </x:c>
      <x:c r="O254" s="2" t="str">
        <x:v>ultra</x:v>
      </x:c>
      <x:c r="P254" s="16"/>
      <x:c r="Q254" s="16"/>
      <x:c r="R254" s="16"/>
      <x:c r="S254" s="16"/>
      <x:c r="T254" s="16"/>
    </x:row>
    <x:row r="255" ht="40" customHeight="1">
      <x:c r="A255" s="16" t="n">
        <x:v>25</x:v>
      </x:c>
      <x:c r="B255" s="2" t="str">
        <x:v>Q1166161_P57_2</x:v>
      </x:c>
      <x:c r="C255" s="21" t="str">
        <x:v>Name the director or directors of Wrong Turn 2: Dead End.</x:v>
      </x:c>
      <x:c r="D255" s="21" t="str">
        <x:v>Wrong Turn 2: Dead End was directed by Joe Lynch. || The director or directors of Wrong Turn 2: Dead End are Joe Lynch.</x:v>
      </x:c>
      <x:c r="E255" s="16" t="n">
        <x:v>2</x:v>
      </x:c>
      <x:c r="F255" s="21" t="str">
        <x:v>Wrong Turn 2: Dead End was directed by Joe Lynch.</x:v>
      </x:c>
      <x:c r="G255" s="2" t="str">
        <x:v>A0</x:v>
      </x:c>
      <x:c r="H255" s="2" t="str">
        <x:v>自动评审02</x:v>
      </x:c>
      <x:c r="I255" s="16" t="n">
        <x:v>2</x:v>
      </x:c>
      <x:c r="J255" s="16" t="n">
        <x:v>2</x:v>
      </x:c>
      <x:c r="K255" s="16" t="n">
        <x:v>5</x:v>
      </x:c>
      <x:c r="L255" s="16" t="n">
        <x:v>0</x:v>
      </x:c>
      <x:c r="M255" s="21" t="str">
        <x:v>回答Wrong Turn 2: Dead End由Joe Lynch执导，信息齐全，英语通顺。</x:v>
      </x:c>
      <x:c r="N255" s="2" t="str">
        <x:v>gpt-6.1-sol</x:v>
      </x:c>
      <x:c r="O255" s="2" t="str">
        <x:v>ultra</x:v>
      </x:c>
      <x:c r="P255" s="16"/>
      <x:c r="Q255" s="16"/>
      <x:c r="R255" s="16"/>
      <x:c r="S255" s="16"/>
      <x:c r="T255" s="16"/>
    </x:row>
    <x:row r="256" ht="54" customHeight="1">
      <x:c r="A256" s="16" t="n">
        <x:v>26</x:v>
      </x:c>
      <x:c r="B256" s="2" t="str">
        <x:v>Q166696_P495_1</x:v>
      </x:c>
      <x:c r="C256" s="21" t="str">
        <x:v>What is the country of origin of The Baader Meinhof Complex?</x:v>
      </x:c>
      <x:c r="D256" s="21" t="str">
        <x:v>The Baader Meinhof Complex originated in France, Germany and Czech Republic. || The countries of origin of The Baader Meinhof Complex are France, Germany and Czech Republic.</x:v>
      </x:c>
      <x:c r="E256" s="16" t="n">
        <x:v>1</x:v>
      </x:c>
      <x:c r="F256" s="21" t="str">
        <x:v>The Baader Meinhof Complex originated in France, Germany and Czech Republic.</x:v>
      </x:c>
      <x:c r="G256" s="2" t="str">
        <x:v>A0</x:v>
      </x:c>
      <x:c r="H256" s="2" t="str">
        <x:v>自动评审02</x:v>
      </x:c>
      <x:c r="I256" s="16" t="n">
        <x:v>2</x:v>
      </x:c>
      <x:c r="J256" s="16" t="n">
        <x:v>2</x:v>
      </x:c>
      <x:c r="K256" s="16" t="n">
        <x:v>4</x:v>
      </x:c>
      <x:c r="L256" s="16" t="n">
        <x:v>0</x:v>
      </x:c>
      <x:c r="M256" s="21" t="str">
        <x:v>法国、德国、捷克三国产地均完整列出；Czech Republic前通常需the。</x:v>
      </x:c>
      <x:c r="N256" s="2" t="str">
        <x:v>gpt-6.1-sol</x:v>
      </x:c>
      <x:c r="O256" s="2" t="str">
        <x:v>ultra</x:v>
      </x:c>
      <x:c r="P256" s="16"/>
      <x:c r="Q256" s="16"/>
      <x:c r="R256" s="16"/>
      <x:c r="S256" s="16"/>
      <x:c r="T256" s="16"/>
    </x:row>
    <x:row r="257" ht="54" customHeight="1">
      <x:c r="A257" s="16" t="n">
        <x:v>26</x:v>
      </x:c>
      <x:c r="B257" s="2" t="str">
        <x:v>Q166696_P495_1</x:v>
      </x:c>
      <x:c r="C257" s="21" t="str">
        <x:v>What is the country of origin of The Baader Meinhof Complex?</x:v>
      </x:c>
      <x:c r="D257" s="21" t="str">
        <x:v>The Baader Meinhof Complex originated in France, Germany and Czech Republic. || The countries of origin of The Baader Meinhof Complex are France, Germany and Czech Republic.</x:v>
      </x:c>
      <x:c r="E257" s="16" t="n">
        <x:v>2</x:v>
      </x:c>
      <x:c r="F257" s="21" t="str">
        <x:v>The Baader Meinhof Complex originated in France, Germany and Czech Republic.</x:v>
      </x:c>
      <x:c r="G257" s="2" t="str">
        <x:v>B0</x:v>
      </x:c>
      <x:c r="H257" s="2" t="str">
        <x:v>自动评审02</x:v>
      </x:c>
      <x:c r="I257" s="16" t="n">
        <x:v>2</x:v>
      </x:c>
      <x:c r="J257" s="16" t="n">
        <x:v>2</x:v>
      </x:c>
      <x:c r="K257" s="16" t="n">
        <x:v>4</x:v>
      </x:c>
      <x:c r="L257" s="16" t="n">
        <x:v>0</x:v>
      </x:c>
      <x:c r="M257" s="21" t="str">
        <x:v>三个参考国家均被正确覆盖，无额外产地；捷克共和国名称前漏定冠词。</x:v>
      </x:c>
      <x:c r="N257" s="2" t="str">
        <x:v>gpt-6.1-sol</x:v>
      </x:c>
      <x:c r="O257" s="2" t="str">
        <x:v>ultra</x:v>
      </x:c>
      <x:c r="P257" s="16"/>
      <x:c r="Q257" s="16"/>
      <x:c r="R257" s="16"/>
      <x:c r="S257" s="16"/>
      <x:c r="T257" s="16"/>
    </x:row>
    <x:row r="258" ht="40" customHeight="1">
      <x:c r="A258" s="16" t="n">
        <x:v>27</x:v>
      </x:c>
      <x:c r="B258" s="2" t="str">
        <x:v>Q244315_P364_1</x:v>
      </x:c>
      <x:c r="C258" s="21" t="str">
        <x:v>Which languages was There Will Be Blood originally made in?</x:v>
      </x:c>
      <x:c r="D258" s="21" t="str">
        <x:v>The original languages of There Will Be Blood are English. || There Will Be Blood was originally made in English.</x:v>
      </x:c>
      <x:c r="E258" s="16" t="n">
        <x:v>1</x:v>
      </x:c>
      <x:c r="F258" s="21" t="str">
        <x:v>The original languages of There Will Be Blood are English.</x:v>
      </x:c>
      <x:c r="G258" s="2" t="str">
        <x:v>A0</x:v>
      </x:c>
      <x:c r="H258" s="2" t="str">
        <x:v>自动评审02</x:v>
      </x:c>
      <x:c r="I258" s="16" t="n">
        <x:v>2</x:v>
      </x:c>
      <x:c r="J258" s="16" t="n">
        <x:v>2</x:v>
      </x:c>
      <x:c r="K258" s="16" t="n">
        <x:v>4</x:v>
      </x:c>
      <x:c r="L258" s="16" t="n">
        <x:v>0</x:v>
      </x:c>
      <x:c r="M258" s="21" t="str">
        <x:v>English准确回答There Will Be Blood的语言；仅一个语言却使用languages…are稍显不自然。</x:v>
      </x:c>
      <x:c r="N258" s="2" t="str">
        <x:v>gpt-6.1-sol</x:v>
      </x:c>
      <x:c r="O258" s="2" t="str">
        <x:v>ultra</x:v>
      </x:c>
      <x:c r="P258" s="16"/>
      <x:c r="Q258" s="16"/>
      <x:c r="R258" s="16"/>
      <x:c r="S258" s="16"/>
      <x:c r="T258" s="16"/>
    </x:row>
    <x:row r="259" ht="40" customHeight="1">
      <x:c r="A259" s="16" t="n">
        <x:v>27</x:v>
      </x:c>
      <x:c r="B259" s="2" t="str">
        <x:v>Q244315_P364_1</x:v>
      </x:c>
      <x:c r="C259" s="21" t="str">
        <x:v>Which languages was There Will Be Blood originally made in?</x:v>
      </x:c>
      <x:c r="D259" s="21" t="str">
        <x:v>The original languages of There Will Be Blood are English. || There Will Be Blood was originally made in English.</x:v>
      </x:c>
      <x:c r="E259" s="16" t="n">
        <x:v>2</x:v>
      </x:c>
      <x:c r="F259" s="21" t="str">
        <x:v>The original languages of There Will Be Blood are English.</x:v>
      </x:c>
      <x:c r="G259" s="2" t="str">
        <x:v>B0</x:v>
      </x:c>
      <x:c r="H259" s="2" t="str">
        <x:v>自动评审02</x:v>
      </x:c>
      <x:c r="I259" s="16" t="n">
        <x:v>2</x:v>
      </x:c>
      <x:c r="J259" s="16" t="n">
        <x:v>2</x:v>
      </x:c>
      <x:c r="K259" s="16" t="n">
        <x:v>4</x:v>
      </x:c>
      <x:c r="L259" s="16" t="n">
        <x:v>0</x:v>
      </x:c>
      <x:c r="M259" s="21" t="str">
        <x:v>参考语言英语已完整给出，未添加其他语言；复数语言框架有轻微数的搭配问题。</x:v>
      </x:c>
      <x:c r="N259" s="2" t="str">
        <x:v>gpt-6.1-sol</x:v>
      </x:c>
      <x:c r="O259" s="2" t="str">
        <x:v>ultra</x:v>
      </x:c>
      <x:c r="P259" s="16"/>
      <x:c r="Q259" s="16"/>
      <x:c r="R259" s="16"/>
      <x:c r="S259" s="16"/>
      <x:c r="T259" s="16"/>
    </x:row>
    <x:row r="260" ht="54" customHeight="1">
      <x:c r="A260" s="16" t="n">
        <x:v>28</x:v>
      </x:c>
      <x:c r="B260" s="2" t="str">
        <x:v>Q1042931_P136_2</x:v>
      </x:c>
      <x:c r="C260" s="21" t="str">
        <x:v>Name the genre or genres of The Man Who Would Be King.</x:v>
      </x:c>
      <x:c r="D260" s="21" t="str">
        <x:v>The Man Who Would Be King belongs to the following genres: drama film and adventure film. || The genres of The Man Who Would Be King are drama film and adventure film.</x:v>
      </x:c>
      <x:c r="E260" s="16" t="n">
        <x:v>1</x:v>
      </x:c>
      <x:c r="F260" s="21" t="str">
        <x:v>The Man Who Would Be King belongs to the following genres: drama film and adventure film.</x:v>
      </x:c>
      <x:c r="G260" s="2" t="str">
        <x:v>A0</x:v>
      </x:c>
      <x:c r="H260" s="2" t="str">
        <x:v>自动评审02</x:v>
      </x:c>
      <x:c r="I260" s="16" t="n">
        <x:v>2</x:v>
      </x:c>
      <x:c r="J260" s="16" t="n">
        <x:v>2</x:v>
      </x:c>
      <x:c r="K260" s="16" t="n">
        <x:v>5</x:v>
      </x:c>
      <x:c r="L260" s="16" t="n">
        <x:v>0</x:v>
      </x:c>
      <x:c r="M260" s="21" t="str">
        <x:v>剧情片与冒险片两类完整准确，类型列举和片名关系表达自然。</x:v>
      </x:c>
      <x:c r="N260" s="2" t="str">
        <x:v>gpt-6.1-sol</x:v>
      </x:c>
      <x:c r="O260" s="2" t="str">
        <x:v>ultra</x:v>
      </x:c>
      <x:c r="P260" s="16"/>
      <x:c r="Q260" s="16"/>
      <x:c r="R260" s="16"/>
      <x:c r="S260" s="16"/>
      <x:c r="T260" s="16"/>
    </x:row>
    <x:row r="261" ht="54" customHeight="1">
      <x:c r="A261" s="16" t="n">
        <x:v>28</x:v>
      </x:c>
      <x:c r="B261" s="2" t="str">
        <x:v>Q1042931_P136_2</x:v>
      </x:c>
      <x:c r="C261" s="21" t="str">
        <x:v>Name the genre or genres of The Man Who Would Be King.</x:v>
      </x:c>
      <x:c r="D261" s="21" t="str">
        <x:v>The Man Who Would Be King belongs to the following genres: drama film and adventure film. || The genres of The Man Who Would Be King are drama film and adventure film.</x:v>
      </x:c>
      <x:c r="E261" s="16" t="n">
        <x:v>2</x:v>
      </x:c>
      <x:c r="F261" s="21" t="str">
        <x:v>The Man Who Would Be King belongs to the following genres: drama film and adventure film.</x:v>
      </x:c>
      <x:c r="G261" s="2" t="str">
        <x:v>B0</x:v>
      </x:c>
      <x:c r="H261" s="2" t="str">
        <x:v>自动评审02</x:v>
      </x:c>
      <x:c r="I261" s="16" t="n">
        <x:v>2</x:v>
      </x:c>
      <x:c r="J261" s="16" t="n">
        <x:v>2</x:v>
      </x:c>
      <x:c r="K261" s="16" t="n">
        <x:v>5</x:v>
      </x:c>
      <x:c r="L261" s="16" t="n">
        <x:v>0</x:v>
      </x:c>
      <x:c r="M261" s="21" t="str">
        <x:v>The Man Who Would Be King的drama film及adventure film均与参考一致，句子流畅。</x:v>
      </x:c>
      <x:c r="N261" s="2" t="str">
        <x:v>gpt-6.1-sol</x:v>
      </x:c>
      <x:c r="O261" s="2" t="str">
        <x:v>ultra</x:v>
      </x:c>
      <x:c r="P261" s="16"/>
      <x:c r="Q261" s="16"/>
      <x:c r="R261" s="16"/>
      <x:c r="S261" s="16"/>
      <x:c r="T261" s="16"/>
    </x:row>
    <x:row r="262" ht="40" customHeight="1">
      <x:c r="A262" s="16" t="n">
        <x:v>29</x:v>
      </x:c>
      <x:c r="B262" s="2" t="str">
        <x:v>Q1137236_P364_0</x:v>
      </x:c>
      <x:c r="C262" s="21" t="str">
        <x:v>What is the original language of J. Edgar?</x:v>
      </x:c>
      <x:c r="D262" s="21" t="str">
        <x:v>The original languages of J. Edgar are English. || J. Edgar was originally made in English.</x:v>
      </x:c>
      <x:c r="E262" s="16" t="n">
        <x:v>1</x:v>
      </x:c>
      <x:c r="F262" s="21" t="str">
        <x:v>The original languages of J. Edgar are English.</x:v>
      </x:c>
      <x:c r="G262" s="2" t="str">
        <x:v>B0</x:v>
      </x:c>
      <x:c r="H262" s="2" t="str">
        <x:v>自动评审02</x:v>
      </x:c>
      <x:c r="I262" s="16" t="n">
        <x:v>2</x:v>
      </x:c>
      <x:c r="J262" s="16" t="n">
        <x:v>2</x:v>
      </x:c>
      <x:c r="K262" s="16" t="n">
        <x:v>4</x:v>
      </x:c>
      <x:c r="L262" s="16" t="n">
        <x:v>0</x:v>
      </x:c>
      <x:c r="M262" s="21" t="str">
        <x:v>J. Edgar的原始语言English准确完整；复数languages…are用于单一语言略不自然。</x:v>
      </x:c>
      <x:c r="N262" s="2" t="str">
        <x:v>gpt-6.1-sol</x:v>
      </x:c>
      <x:c r="O262" s="2" t="str">
        <x:v>ultra</x:v>
      </x:c>
      <x:c r="P262" s="16"/>
      <x:c r="Q262" s="16"/>
      <x:c r="R262" s="16"/>
      <x:c r="S262" s="16"/>
      <x:c r="T262" s="16"/>
    </x:row>
    <x:row r="263" ht="40" customHeight="1">
      <x:c r="A263" s="16" t="n">
        <x:v>29</x:v>
      </x:c>
      <x:c r="B263" s="2" t="str">
        <x:v>Q1137236_P364_0</x:v>
      </x:c>
      <x:c r="C263" s="21" t="str">
        <x:v>What is the original language of J. Edgar?</x:v>
      </x:c>
      <x:c r="D263" s="21" t="str">
        <x:v>The original languages of J. Edgar are English. || J. Edgar was originally made in English.</x:v>
      </x:c>
      <x:c r="E263" s="16" t="n">
        <x:v>2</x:v>
      </x:c>
      <x:c r="F263" s="21" t="str">
        <x:v>The original languages of J. Edgar are English.</x:v>
      </x:c>
      <x:c r="G263" s="2" t="str">
        <x:v>A0</x:v>
      </x:c>
      <x:c r="H263" s="2" t="str">
        <x:v>自动评审02</x:v>
      </x:c>
      <x:c r="I263" s="16" t="n">
        <x:v>2</x:v>
      </x:c>
      <x:c r="J263" s="16" t="n">
        <x:v>2</x:v>
      </x:c>
      <x:c r="K263" s="16" t="n">
        <x:v>4</x:v>
      </x:c>
      <x:c r="L263" s="16" t="n">
        <x:v>0</x:v>
      </x:c>
      <x:c r="M263" s="21" t="str">
        <x:v>英语这一参考语言已被明确回答；仅一项语言却用复数框架，轻微影响自然度。</x:v>
      </x:c>
      <x:c r="N263" s="2" t="str">
        <x:v>gpt-6.1-sol</x:v>
      </x:c>
      <x:c r="O263" s="2" t="str">
        <x:v>ultra</x:v>
      </x:c>
      <x:c r="P263" s="16"/>
      <x:c r="Q263" s="16"/>
      <x:c r="R263" s="16"/>
      <x:c r="S263" s="16"/>
      <x:c r="T263" s="16"/>
    </x:row>
    <x:row r="264" ht="40" customHeight="1">
      <x:c r="A264" s="16" t="n">
        <x:v>30</x:v>
      </x:c>
      <x:c r="B264" s="2" t="str">
        <x:v>Q840872_P495_1</x:v>
      </x:c>
      <x:c r="C264" s="21" t="str">
        <x:v>What is the country of origin of Thank You for Smoking?</x:v>
      </x:c>
      <x:c r="D264" s="21" t="str">
        <x:v>Thank You for Smoking originated in United States. || The countries of origin of Thank You for Smoking are United States.</x:v>
      </x:c>
      <x:c r="E264" s="16" t="n">
        <x:v>1</x:v>
      </x:c>
      <x:c r="F264" s="21" t="str">
        <x:v>Thank You for Smoking originated in United States.</x:v>
      </x:c>
      <x:c r="G264" s="2" t="str">
        <x:v>A0</x:v>
      </x:c>
      <x:c r="H264" s="2" t="str">
        <x:v>自动评审02</x:v>
      </x:c>
      <x:c r="I264" s="16" t="n">
        <x:v>2</x:v>
      </x:c>
      <x:c r="J264" s="16" t="n">
        <x:v>2</x:v>
      </x:c>
      <x:c r="K264" s="16" t="n">
        <x:v>4</x:v>
      </x:c>
      <x:c r="L264" s="16" t="n">
        <x:v>0</x:v>
      </x:c>
      <x:c r="M264" s="21" t="str">
        <x:v>美国这一产地正确完整；United States前缺少the，句意仍清楚。</x:v>
      </x:c>
      <x:c r="N264" s="2" t="str">
        <x:v>gpt-6.1-sol</x:v>
      </x:c>
      <x:c r="O264" s="2" t="str">
        <x:v>ultra</x:v>
      </x:c>
      <x:c r="P264" s="16"/>
      <x:c r="Q264" s="16"/>
      <x:c r="R264" s="16"/>
      <x:c r="S264" s="16"/>
      <x:c r="T264" s="16"/>
    </x:row>
    <x:row r="265" ht="40" customHeight="1">
      <x:c r="A265" s="16" t="n">
        <x:v>30</x:v>
      </x:c>
      <x:c r="B265" s="2" t="str">
        <x:v>Q840872_P495_1</x:v>
      </x:c>
      <x:c r="C265" s="21" t="str">
        <x:v>What is the country of origin of Thank You for Smoking?</x:v>
      </x:c>
      <x:c r="D265" s="21" t="str">
        <x:v>Thank You for Smoking originated in United States. || The countries of origin of Thank You for Smoking are United States.</x:v>
      </x:c>
      <x:c r="E265" s="16" t="n">
        <x:v>2</x:v>
      </x:c>
      <x:c r="F265" s="21" t="str">
        <x:v>Thank You for Smoking originated in United States.</x:v>
      </x:c>
      <x:c r="G265" s="2" t="str">
        <x:v>B0</x:v>
      </x:c>
      <x:c r="H265" s="2" t="str">
        <x:v>自动评审02</x:v>
      </x:c>
      <x:c r="I265" s="16" t="n">
        <x:v>2</x:v>
      </x:c>
      <x:c r="J265" s="16" t="n">
        <x:v>2</x:v>
      </x:c>
      <x:c r="K265" s="16" t="n">
        <x:v>4</x:v>
      </x:c>
      <x:c r="L265" s="16" t="n">
        <x:v>0</x:v>
      </x:c>
      <x:c r="M265" s="21" t="str">
        <x:v>Thank You for Smoking的美国来源与参考一致，无额外断言；漏用国家名前的the。</x:v>
      </x:c>
      <x:c r="N265" s="2" t="str">
        <x:v>gpt-6.1-sol</x:v>
      </x:c>
      <x:c r="O265" s="2" t="str">
        <x:v>ultra</x:v>
      </x:c>
      <x:c r="P265" s="16"/>
      <x:c r="Q265" s="16"/>
      <x:c r="R265" s="16"/>
      <x:c r="S265" s="16"/>
      <x:c r="T265" s="16"/>
    </x:row>
    <x:row r="266" ht="40" customHeight="1">
      <x:c r="A266" s="16" t="n">
        <x:v>31</x:v>
      </x:c>
      <x:c r="B266" s="2" t="str">
        <x:v>Q503033_P57_0</x:v>
      </x:c>
      <x:c r="C266" s="21" t="str">
        <x:v>Who directed The Final Countdown?</x:v>
      </x:c>
      <x:c r="D266" s="21" t="str">
        <x:v>The Final Countdown was directed by Don Taylor. || The director or directors of The Final Countdown are Don Taylor.</x:v>
      </x:c>
      <x:c r="E266" s="16" t="n">
        <x:v>1</x:v>
      </x:c>
      <x:c r="F266" s="21" t="str">
        <x:v>The Final Countdown was directed by Don Taylor.</x:v>
      </x:c>
      <x:c r="G266" s="2" t="str">
        <x:v>B0</x:v>
      </x:c>
      <x:c r="H266" s="2" t="str">
        <x:v>自动评审02</x:v>
      </x:c>
      <x:c r="I266" s="16" t="n">
        <x:v>2</x:v>
      </x:c>
      <x:c r="J266" s="16" t="n">
        <x:v>2</x:v>
      </x:c>
      <x:c r="K266" s="16" t="n">
        <x:v>5</x:v>
      </x:c>
      <x:c r="L266" s="16" t="n">
        <x:v>0</x:v>
      </x:c>
      <x:c r="M266" s="21" t="str">
        <x:v>导演Don Taylor完整准确，The Final Countdown与执导者关系明确，英语自然。</x:v>
      </x:c>
      <x:c r="N266" s="2" t="str">
        <x:v>gpt-6.1-sol</x:v>
      </x:c>
      <x:c r="O266" s="2" t="str">
        <x:v>ultra</x:v>
      </x:c>
      <x:c r="P266" s="16"/>
      <x:c r="Q266" s="16"/>
      <x:c r="R266" s="16"/>
      <x:c r="S266" s="16"/>
      <x:c r="T266" s="16"/>
    </x:row>
    <x:row r="267" ht="40" customHeight="1">
      <x:c r="A267" s="16" t="n">
        <x:v>31</x:v>
      </x:c>
      <x:c r="B267" s="2" t="str">
        <x:v>Q503033_P57_0</x:v>
      </x:c>
      <x:c r="C267" s="21" t="str">
        <x:v>Who directed The Final Countdown?</x:v>
      </x:c>
      <x:c r="D267" s="21" t="str">
        <x:v>The Final Countdown was directed by Don Taylor. || The director or directors of The Final Countdown are Don Taylor.</x:v>
      </x:c>
      <x:c r="E267" s="16" t="n">
        <x:v>2</x:v>
      </x:c>
      <x:c r="F267" s="21" t="str">
        <x:v>The Final Countdown was directed by Don Taylor.</x:v>
      </x:c>
      <x:c r="G267" s="2" t="str">
        <x:v>A0</x:v>
      </x:c>
      <x:c r="H267" s="2" t="str">
        <x:v>自动评审02</x:v>
      </x:c>
      <x:c r="I267" s="16" t="n">
        <x:v>2</x:v>
      </x:c>
      <x:c r="J267" s="16" t="n">
        <x:v>2</x:v>
      </x:c>
      <x:c r="K267" s="16" t="n">
        <x:v>5</x:v>
      </x:c>
      <x:c r="L267" s="16" t="n">
        <x:v>0</x:v>
      </x:c>
      <x:c r="M267" s="21" t="str">
        <x:v>Don Taylor是参考唯一导演，已无遗漏地给出，句子完整顺畅。</x:v>
      </x:c>
      <x:c r="N267" s="2" t="str">
        <x:v>gpt-6.1-sol</x:v>
      </x:c>
      <x:c r="O267" s="2" t="str">
        <x:v>ultra</x:v>
      </x:c>
      <x:c r="P267" s="16"/>
      <x:c r="Q267" s="16"/>
      <x:c r="R267" s="16"/>
      <x:c r="S267" s="16"/>
      <x:c r="T267" s="16"/>
    </x:row>
    <x:row r="268" ht="54" customHeight="1">
      <x:c r="A268" s="16" t="n">
        <x:v>32</x:v>
      </x:c>
      <x:c r="B268" s="2" t="str">
        <x:v>Q1055332_P136_1</x:v>
      </x:c>
      <x:c r="C268" s="21" t="str">
        <x:v>Which genres does The Outsiders belong to?</x:v>
      </x:c>
      <x:c r="D268" s="21" t="str">
        <x:v>The Outsiders belongs to the following genres: drama film, teen film and coming-of-age film. || The genres of The Outsiders are drama film, teen film and coming-of-age film.</x:v>
      </x:c>
      <x:c r="E268" s="16" t="n">
        <x:v>1</x:v>
      </x:c>
      <x:c r="F268" s="21" t="str">
        <x:v>The Outsiders belongs to the following genres: drama film, teen film and coming-of-age film.</x:v>
      </x:c>
      <x:c r="G268" s="2" t="str">
        <x:v>B0</x:v>
      </x:c>
      <x:c r="H268" s="2" t="str">
        <x:v>自动评审02</x:v>
      </x:c>
      <x:c r="I268" s="16" t="n">
        <x:v>2</x:v>
      </x:c>
      <x:c r="J268" s="16" t="n">
        <x:v>2</x:v>
      </x:c>
      <x:c r="K268" s="16" t="n">
        <x:v>5</x:v>
      </x:c>
      <x:c r="L268" s="16" t="n">
        <x:v>0</x:v>
      </x:c>
      <x:c r="M268" s="21" t="str">
        <x:v>剧情片、青少年电影、成长电影三项全部正确；片名作为电影用belongs合理。</x:v>
      </x:c>
      <x:c r="N268" s="2" t="str">
        <x:v>gpt-6.1-sol</x:v>
      </x:c>
      <x:c r="O268" s="2" t="str">
        <x:v>ultra</x:v>
      </x:c>
      <x:c r="P268" s="16"/>
      <x:c r="Q268" s="16"/>
      <x:c r="R268" s="16"/>
      <x:c r="S268" s="16"/>
      <x:c r="T268" s="16"/>
    </x:row>
    <x:row r="269" ht="54" customHeight="1">
      <x:c r="A269" s="16" t="n">
        <x:v>32</x:v>
      </x:c>
      <x:c r="B269" s="2" t="str">
        <x:v>Q1055332_P136_1</x:v>
      </x:c>
      <x:c r="C269" s="21" t="str">
        <x:v>Which genres does The Outsiders belong to?</x:v>
      </x:c>
      <x:c r="D269" s="21" t="str">
        <x:v>The Outsiders belongs to the following genres: drama film, teen film and coming-of-age film. || The genres of The Outsiders are drama film, teen film and coming-of-age film.</x:v>
      </x:c>
      <x:c r="E269" s="16" t="n">
        <x:v>2</x:v>
      </x:c>
      <x:c r="F269" s="21" t="str">
        <x:v>The Outsiders belongs to the following genres: drama film, teen film and coming-of-age film.</x:v>
      </x:c>
      <x:c r="G269" s="2" t="str">
        <x:v>A0</x:v>
      </x:c>
      <x:c r="H269" s="2" t="str">
        <x:v>自动评审02</x:v>
      </x:c>
      <x:c r="I269" s="16" t="n">
        <x:v>2</x:v>
      </x:c>
      <x:c r="J269" s="16" t="n">
        <x:v>2</x:v>
      </x:c>
      <x:c r="K269" s="16" t="n">
        <x:v>5</x:v>
      </x:c>
      <x:c r="L269" s="16" t="n">
        <x:v>0</x:v>
      </x:c>
      <x:c r="M269" s="21" t="str">
        <x:v>The Outsiders的三个参考类型均覆盖，列举清楚，没有额外类型。</x:v>
      </x:c>
      <x:c r="N269" s="2" t="str">
        <x:v>gpt-6.1-sol</x:v>
      </x:c>
      <x:c r="O269" s="2" t="str">
        <x:v>ultra</x:v>
      </x:c>
      <x:c r="P269" s="16"/>
      <x:c r="Q269" s="16"/>
      <x:c r="R269" s="16"/>
      <x:c r="S269" s="16"/>
      <x:c r="T269" s="16"/>
    </x:row>
    <x:row r="270" ht="54" customHeight="1">
      <x:c r="A270" s="16" t="n">
        <x:v>33</x:v>
      </x:c>
      <x:c r="B270" s="2" t="str">
        <x:v>Q492851_P136_1</x:v>
      </x:c>
      <x:c r="C270" s="21" t="str">
        <x:v>Which genres does The Quiet Family belong to?</x:v>
      </x:c>
      <x:c r="D270" s="21" t="str">
        <x:v>The Quiet Family belongs to the following genres: drama film, comedy film and comedy horror. || The genres of The Quiet Family are drama film, comedy film and comedy horror.</x:v>
      </x:c>
      <x:c r="E270" s="16" t="n">
        <x:v>1</x:v>
      </x:c>
      <x:c r="F270" s="21" t="str">
        <x:v>The Quiet Family belongs to the following genres: drama film, comedy film and comedy horror.</x:v>
      </x:c>
      <x:c r="G270" s="2" t="str">
        <x:v>A0</x:v>
      </x:c>
      <x:c r="H270" s="2" t="str">
        <x:v>自动评审02</x:v>
      </x:c>
      <x:c r="I270" s="16" t="n">
        <x:v>2</x:v>
      </x:c>
      <x:c r="J270" s="16" t="n">
        <x:v>2</x:v>
      </x:c>
      <x:c r="K270" s="16" t="n">
        <x:v>5</x:v>
      </x:c>
      <x:c r="L270" s="16" t="n">
        <x:v>0</x:v>
      </x:c>
      <x:c r="M270" s="21" t="str">
        <x:v>剧情片、喜剧片和恐怖喜剧三类均与参考一致，覆盖完整，语言清楚。</x:v>
      </x:c>
      <x:c r="N270" s="2" t="str">
        <x:v>gpt-6.1-sol</x:v>
      </x:c>
      <x:c r="O270" s="2" t="str">
        <x:v>ultra</x:v>
      </x:c>
      <x:c r="P270" s="16"/>
      <x:c r="Q270" s="16"/>
      <x:c r="R270" s="16"/>
      <x:c r="S270" s="16"/>
      <x:c r="T270" s="16"/>
    </x:row>
    <x:row r="271" ht="54" customHeight="1">
      <x:c r="A271" s="16" t="n">
        <x:v>33</x:v>
      </x:c>
      <x:c r="B271" s="2" t="str">
        <x:v>Q492851_P136_1</x:v>
      </x:c>
      <x:c r="C271" s="21" t="str">
        <x:v>Which genres does The Quiet Family belong to?</x:v>
      </x:c>
      <x:c r="D271" s="21" t="str">
        <x:v>The Quiet Family belongs to the following genres: drama film, comedy film and comedy horror. || The genres of The Quiet Family are drama film, comedy film and comedy horror.</x:v>
      </x:c>
      <x:c r="E271" s="16" t="n">
        <x:v>2</x:v>
      </x:c>
      <x:c r="F271" s="21" t="str">
        <x:v>The Quiet Family belongs to the following genres: drama film, comedy film and comedy horror.</x:v>
      </x:c>
      <x:c r="G271" s="2" t="str">
        <x:v>B0</x:v>
      </x:c>
      <x:c r="H271" s="2" t="str">
        <x:v>自动评审02</x:v>
      </x:c>
      <x:c r="I271" s="16" t="n">
        <x:v>2</x:v>
      </x:c>
      <x:c r="J271" s="16" t="n">
        <x:v>2</x:v>
      </x:c>
      <x:c r="K271" s="16" t="n">
        <x:v>5</x:v>
      </x:c>
      <x:c r="L271" s="16" t="n">
        <x:v>0</x:v>
      </x:c>
      <x:c r="M271" s="21" t="str">
        <x:v>The Quiet Family的三项类型关系准确完整，列举语法自然。</x:v>
      </x:c>
      <x:c r="N271" s="2" t="str">
        <x:v>gpt-6.1-sol</x:v>
      </x:c>
      <x:c r="O271" s="2" t="str">
        <x:v>ultra</x:v>
      </x:c>
      <x:c r="P271" s="16"/>
      <x:c r="Q271" s="16"/>
      <x:c r="R271" s="16"/>
      <x:c r="S271" s="16"/>
      <x:c r="T271" s="16"/>
    </x:row>
    <x:row r="272" ht="40" customHeight="1">
      <x:c r="A272" s="16" t="n">
        <x:v>34</x:v>
      </x:c>
      <x:c r="B272" s="2" t="str">
        <x:v>Q1125282_P57_2</x:v>
      </x:c>
      <x:c r="C272" s="21" t="str">
        <x:v>Name the director or directors of Man on the Moon.</x:v>
      </x:c>
      <x:c r="D272" s="21" t="str">
        <x:v>Man on the Moon was directed by Miloš Forman. || The director or directors of Man on the Moon are Miloš Forman.</x:v>
      </x:c>
      <x:c r="E272" s="16" t="n">
        <x:v>1</x:v>
      </x:c>
      <x:c r="F272" s="21" t="str">
        <x:v>Man on the Moon was directed by Milo Forman.</x:v>
      </x:c>
      <x:c r="G272" s="2" t="str">
        <x:v>B0</x:v>
      </x:c>
      <x:c r="H272" s="2" t="str">
        <x:v>自动评审02</x:v>
      </x:c>
      <x:c r="I272" s="16" t="n">
        <x:v>2</x:v>
      </x:c>
      <x:c r="J272" s="16" t="n">
        <x:v>2</x:v>
      </x:c>
      <x:c r="K272" s="16" t="n">
        <x:v>4</x:v>
      </x:c>
      <x:c r="L272" s="16" t="n">
        <x:v>0</x:v>
      </x:c>
      <x:c r="M272" s="21" t="str">
        <x:v>执导关系与Forman姓氏明确；Milo较参考Miloš漏末字母，视为可辨姓名的轻微拼写问题。</x:v>
      </x:c>
      <x:c r="N272" s="2" t="str">
        <x:v>gpt-6.1-sol</x:v>
      </x:c>
      <x:c r="O272" s="2" t="str">
        <x:v>ultra</x:v>
      </x:c>
      <x:c r="P272" s="16"/>
      <x:c r="Q272" s="16"/>
      <x:c r="R272" s="16"/>
      <x:c r="S272" s="16"/>
      <x:c r="T272" s="16"/>
    </x:row>
    <x:row r="273" ht="40" customHeight="1">
      <x:c r="A273" s="16" t="n">
        <x:v>34</x:v>
      </x:c>
      <x:c r="B273" s="2" t="str">
        <x:v>Q1125282_P57_2</x:v>
      </x:c>
      <x:c r="C273" s="21" t="str">
        <x:v>Name the director or directors of Man on the Moon.</x:v>
      </x:c>
      <x:c r="D273" s="21" t="str">
        <x:v>Man on the Moon was directed by Miloš Forman. || The director or directors of Man on the Moon are Miloš Forman.</x:v>
      </x:c>
      <x:c r="E273" s="16" t="n">
        <x:v>2</x:v>
      </x:c>
      <x:c r="F273" s="21" t="str">
        <x:v>Man on the Moon was directed by Miloš Forman.</x:v>
      </x:c>
      <x:c r="G273" s="2" t="str">
        <x:v>A0</x:v>
      </x:c>
      <x:c r="H273" s="2" t="str">
        <x:v>自动评审02</x:v>
      </x:c>
      <x:c r="I273" s="16" t="n">
        <x:v>2</x:v>
      </x:c>
      <x:c r="J273" s="16" t="n">
        <x:v>2</x:v>
      </x:c>
      <x:c r="K273" s="16" t="n">
        <x:v>5</x:v>
      </x:c>
      <x:c r="L273" s="16" t="n">
        <x:v>0</x:v>
      </x:c>
      <x:c r="M273" s="21" t="str">
        <x:v>Miloš Forman姓名及其执导Man on the Moon的关系准确完整，句子自然。</x:v>
      </x:c>
      <x:c r="N273" s="2" t="str">
        <x:v>gpt-6.1-sol</x:v>
      </x:c>
      <x:c r="O273" s="2" t="str">
        <x:v>ultra</x:v>
      </x:c>
      <x:c r="P273" s="16"/>
      <x:c r="Q273" s="16"/>
      <x:c r="R273" s="16"/>
      <x:c r="S273" s="16"/>
      <x:c r="T273" s="16"/>
    </x:row>
    <x:row r="274" ht="40" customHeight="1">
      <x:c r="A274" s="16" t="n">
        <x:v>35</x:v>
      </x:c>
      <x:c r="B274" s="2" t="str">
        <x:v>Q16781911_P364_1</x:v>
      </x:c>
      <x:c r="C274" s="21" t="str">
        <x:v>Which languages was Taken 3 originally made in?</x:v>
      </x:c>
      <x:c r="D274" s="21" t="str">
        <x:v>The original languages of Taken 3 are English. || Taken 3 was originally made in English.</x:v>
      </x:c>
      <x:c r="E274" s="16" t="n">
        <x:v>1</x:v>
      </x:c>
      <x:c r="F274" s="21" t="str">
        <x:v>The original languages of Taken 3 are English.</x:v>
      </x:c>
      <x:c r="G274" s="2" t="str">
        <x:v>A0</x:v>
      </x:c>
      <x:c r="H274" s="2" t="str">
        <x:v>自动评审02</x:v>
      </x:c>
      <x:c r="I274" s="16" t="n">
        <x:v>2</x:v>
      </x:c>
      <x:c r="J274" s="16" t="n">
        <x:v>2</x:v>
      </x:c>
      <x:c r="K274" s="16" t="n">
        <x:v>4</x:v>
      </x:c>
      <x:c r="L274" s="16" t="n">
        <x:v>0</x:v>
      </x:c>
      <x:c r="M274" s="21" t="str">
        <x:v>Taken 3原始语言English完整准确；单项语言使用复数languages…are稍不自然。</x:v>
      </x:c>
      <x:c r="N274" s="2" t="str">
        <x:v>gpt-6.1-sol</x:v>
      </x:c>
      <x:c r="O274" s="2" t="str">
        <x:v>ultra</x:v>
      </x:c>
      <x:c r="P274" s="16"/>
      <x:c r="Q274" s="16"/>
      <x:c r="R274" s="16"/>
      <x:c r="S274" s="16"/>
      <x:c r="T274" s="16"/>
    </x:row>
    <x:row r="275" ht="40" customHeight="1">
      <x:c r="A275" s="16" t="n">
        <x:v>35</x:v>
      </x:c>
      <x:c r="B275" s="2" t="str">
        <x:v>Q16781911_P364_1</x:v>
      </x:c>
      <x:c r="C275" s="21" t="str">
        <x:v>Which languages was Taken 3 originally made in?</x:v>
      </x:c>
      <x:c r="D275" s="21" t="str">
        <x:v>The original languages of Taken 3 are English. || Taken 3 was originally made in English.</x:v>
      </x:c>
      <x:c r="E275" s="16" t="n">
        <x:v>2</x:v>
      </x:c>
      <x:c r="F275" s="21" t="str">
        <x:v>The original languages of Taken 3 are English.</x:v>
      </x:c>
      <x:c r="G275" s="2" t="str">
        <x:v>B0</x:v>
      </x:c>
      <x:c r="H275" s="2" t="str">
        <x:v>自动评审02</x:v>
      </x:c>
      <x:c r="I275" s="16" t="n">
        <x:v>2</x:v>
      </x:c>
      <x:c r="J275" s="16" t="n">
        <x:v>2</x:v>
      </x:c>
      <x:c r="K275" s="16" t="n">
        <x:v>4</x:v>
      </x:c>
      <x:c r="L275" s="16" t="n">
        <x:v>0</x:v>
      </x:c>
      <x:c r="M275" s="21" t="str">
        <x:v>英语为参考唯一语言，已明确给出；复数语言模板与单一列项存在轻微搭配问题。</x:v>
      </x:c>
      <x:c r="N275" s="2" t="str">
        <x:v>gpt-6.1-sol</x:v>
      </x:c>
      <x:c r="O275" s="2" t="str">
        <x:v>ultra</x:v>
      </x:c>
      <x:c r="P275" s="16"/>
      <x:c r="Q275" s="16"/>
      <x:c r="R275" s="16"/>
      <x:c r="S275" s="16"/>
      <x:c r="T275" s="16"/>
    </x:row>
    <x:row r="276" ht="54" customHeight="1">
      <x:c r="A276" s="16" t="n">
        <x:v>36</x:v>
      </x:c>
      <x:c r="B276" s="2" t="str">
        <x:v>Q16403_P495_1</x:v>
      </x:c>
      <x:c r="C276" s="21" t="str">
        <x:v>What is the country of origin of And Now for Something Completely Different?</x:v>
      </x:c>
      <x:c r="D276" s="21" t="str">
        <x:v>And Now for Something Completely Different originated in United Kingdom. || The countries of origin of And Now for Something Completely Different are United Kingdom.</x:v>
      </x:c>
      <x:c r="E276" s="16" t="n">
        <x:v>1</x:v>
      </x:c>
      <x:c r="F276" s="21" t="str">
        <x:v>And Now for Something Completely Different originated in United Kingdom.</x:v>
      </x:c>
      <x:c r="G276" s="2" t="str">
        <x:v>B0</x:v>
      </x:c>
      <x:c r="H276" s="2" t="str">
        <x:v>自动评审02</x:v>
      </x:c>
      <x:c r="I276" s="16" t="n">
        <x:v>2</x:v>
      </x:c>
      <x:c r="J276" s="16" t="n">
        <x:v>2</x:v>
      </x:c>
      <x:c r="K276" s="16" t="n">
        <x:v>4</x:v>
      </x:c>
      <x:c r="L276" s="16" t="n">
        <x:v>0</x:v>
      </x:c>
      <x:c r="M276" s="21" t="str">
        <x:v>英国产地与参考一致且完整；United Kingdom前应加the。</x:v>
      </x:c>
      <x:c r="N276" s="2" t="str">
        <x:v>gpt-6.1-sol</x:v>
      </x:c>
      <x:c r="O276" s="2" t="str">
        <x:v>ultra</x:v>
      </x:c>
      <x:c r="P276" s="16"/>
      <x:c r="Q276" s="16"/>
      <x:c r="R276" s="16"/>
      <x:c r="S276" s="16"/>
      <x:c r="T276" s="16"/>
    </x:row>
    <x:row r="277" ht="54" customHeight="1">
      <x:c r="A277" s="16" t="n">
        <x:v>36</x:v>
      </x:c>
      <x:c r="B277" s="2" t="str">
        <x:v>Q16403_P495_1</x:v>
      </x:c>
      <x:c r="C277" s="21" t="str">
        <x:v>What is the country of origin of And Now for Something Completely Different?</x:v>
      </x:c>
      <x:c r="D277" s="21" t="str">
        <x:v>And Now for Something Completely Different originated in United Kingdom. || The countries of origin of And Now for Something Completely Different are United Kingdom.</x:v>
      </x:c>
      <x:c r="E277" s="16" t="n">
        <x:v>2</x:v>
      </x:c>
      <x:c r="F277" s="21" t="str">
        <x:v>And Now for Something Completely Different originated in United Kingdom.</x:v>
      </x:c>
      <x:c r="G277" s="2" t="str">
        <x:v>A0</x:v>
      </x:c>
      <x:c r="H277" s="2" t="str">
        <x:v>自动评审02</x:v>
      </x:c>
      <x:c r="I277" s="16" t="n">
        <x:v>2</x:v>
      </x:c>
      <x:c r="J277" s="16" t="n">
        <x:v>2</x:v>
      </x:c>
      <x:c r="K277" s="16" t="n">
        <x:v>4</x:v>
      </x:c>
      <x:c r="L277" s="16" t="n">
        <x:v>0</x:v>
      </x:c>
      <x:c r="M277" s="21" t="str">
        <x:v>唯一产地United Kingdom已被正确回答，无额外国家；缺少定冠词影响自然度。</x:v>
      </x:c>
      <x:c r="N277" s="2" t="str">
        <x:v>gpt-6.1-sol</x:v>
      </x:c>
      <x:c r="O277" s="2" t="str">
        <x:v>ultra</x:v>
      </x:c>
      <x:c r="P277" s="16"/>
      <x:c r="Q277" s="16"/>
      <x:c r="R277" s="16"/>
      <x:c r="S277" s="16"/>
      <x:c r="T277" s="16"/>
    </x:row>
    <x:row r="278" ht="40" customHeight="1">
      <x:c r="A278" s="16" t="n">
        <x:v>37</x:v>
      </x:c>
      <x:c r="B278" s="2" t="str">
        <x:v>Q16954098_P57_0</x:v>
      </x:c>
      <x:c r="C278" s="21" t="str">
        <x:v>Who directed Brooklyn?</x:v>
      </x:c>
      <x:c r="D278" s="21" t="str">
        <x:v>Brooklyn was directed by John Crowley. || The director or directors of Brooklyn are John Crowley.</x:v>
      </x:c>
      <x:c r="E278" s="16" t="n">
        <x:v>1</x:v>
      </x:c>
      <x:c r="F278" s="21" t="str">
        <x:v>Brooklyn was directed by John Crowley.</x:v>
      </x:c>
      <x:c r="G278" s="2" t="str">
        <x:v>A0</x:v>
      </x:c>
      <x:c r="H278" s="2" t="str">
        <x:v>自动评审02</x:v>
      </x:c>
      <x:c r="I278" s="16" t="n">
        <x:v>2</x:v>
      </x:c>
      <x:c r="J278" s="16" t="n">
        <x:v>2</x:v>
      </x:c>
      <x:c r="K278" s="16" t="n">
        <x:v>5</x:v>
      </x:c>
      <x:c r="L278" s="16" t="n">
        <x:v>0</x:v>
      </x:c>
      <x:c r="M278" s="21" t="str">
        <x:v>Brooklyn由John Crowley执导与参考一致，所需信息完整，语句自然。</x:v>
      </x:c>
      <x:c r="N278" s="2" t="str">
        <x:v>gpt-6.1-sol</x:v>
      </x:c>
      <x:c r="O278" s="2" t="str">
        <x:v>ultra</x:v>
      </x:c>
      <x:c r="P278" s="16"/>
      <x:c r="Q278" s="16"/>
      <x:c r="R278" s="16"/>
      <x:c r="S278" s="16"/>
      <x:c r="T278" s="16"/>
    </x:row>
    <x:row r="279" ht="40" customHeight="1">
      <x:c r="A279" s="16" t="n">
        <x:v>37</x:v>
      </x:c>
      <x:c r="B279" s="2" t="str">
        <x:v>Q16954098_P57_0</x:v>
      </x:c>
      <x:c r="C279" s="21" t="str">
        <x:v>Who directed Brooklyn?</x:v>
      </x:c>
      <x:c r="D279" s="21" t="str">
        <x:v>Brooklyn was directed by John Crowley. || The director or directors of Brooklyn are John Crowley.</x:v>
      </x:c>
      <x:c r="E279" s="16" t="n">
        <x:v>2</x:v>
      </x:c>
      <x:c r="F279" s="21" t="str">
        <x:v>Brooklyn was directed by John Crowley.</x:v>
      </x:c>
      <x:c r="G279" s="2" t="str">
        <x:v>B0</x:v>
      </x:c>
      <x:c r="H279" s="2" t="str">
        <x:v>自动评审02</x:v>
      </x:c>
      <x:c r="I279" s="16" t="n">
        <x:v>2</x:v>
      </x:c>
      <x:c r="J279" s="16" t="n">
        <x:v>2</x:v>
      </x:c>
      <x:c r="K279" s="16" t="n">
        <x:v>5</x:v>
      </x:c>
      <x:c r="L279" s="16" t="n">
        <x:v>0</x:v>
      </x:c>
      <x:c r="M279" s="21" t="str">
        <x:v>导演John Crowley准确且无遗漏，未增加导演以外的事实，表达清晰。</x:v>
      </x:c>
      <x:c r="N279" s="2" t="str">
        <x:v>gpt-6.1-sol</x:v>
      </x:c>
      <x:c r="O279" s="2" t="str">
        <x:v>ultra</x:v>
      </x:c>
      <x:c r="P279" s="16"/>
      <x:c r="Q279" s="16"/>
      <x:c r="R279" s="16"/>
      <x:c r="S279" s="16"/>
      <x:c r="T279" s="16"/>
    </x:row>
    <x:row r="280" ht="40" customHeight="1">
      <x:c r="A280" s="16" t="n">
        <x:v>38</x:v>
      </x:c>
      <x:c r="B280" s="2" t="str">
        <x:v>Q1436798_P364_2</x:v>
      </x:c>
      <x:c r="C280" s="21" t="str">
        <x:v>Name the original language or languages of The Bishop's Wife.</x:v>
      </x:c>
      <x:c r="D280" s="21" t="str">
        <x:v>The original languages of The Bishop's Wife are English. || The Bishop's Wife was originally made in English.</x:v>
      </x:c>
      <x:c r="E280" s="16" t="n">
        <x:v>1</x:v>
      </x:c>
      <x:c r="F280" s="21" t="str">
        <x:v>The original languages of The Bishop's Wife are English.</x:v>
      </x:c>
      <x:c r="G280" s="2" t="str">
        <x:v>A0</x:v>
      </x:c>
      <x:c r="H280" s="2" t="str">
        <x:v>自动评审02</x:v>
      </x:c>
      <x:c r="I280" s="16" t="n">
        <x:v>2</x:v>
      </x:c>
      <x:c r="J280" s="16" t="n">
        <x:v>2</x:v>
      </x:c>
      <x:c r="K280" s="16" t="n">
        <x:v>4</x:v>
      </x:c>
      <x:c r="L280" s="16" t="n">
        <x:v>0</x:v>
      </x:c>
      <x:c r="M280" s="21" t="str">
        <x:v>The Bishop's Wife的英语语言信息准确完整；单一语言使用复数languages略不自然。</x:v>
      </x:c>
      <x:c r="N280" s="2" t="str">
        <x:v>gpt-6.1-sol</x:v>
      </x:c>
      <x:c r="O280" s="2" t="str">
        <x:v>ultra</x:v>
      </x:c>
      <x:c r="P280" s="16"/>
      <x:c r="Q280" s="16"/>
      <x:c r="R280" s="16"/>
      <x:c r="S280" s="16"/>
      <x:c r="T280" s="16"/>
    </x:row>
    <x:row r="281" ht="40" customHeight="1">
      <x:c r="A281" s="16" t="n">
        <x:v>38</x:v>
      </x:c>
      <x:c r="B281" s="2" t="str">
        <x:v>Q1436798_P364_2</x:v>
      </x:c>
      <x:c r="C281" s="21" t="str">
        <x:v>Name the original language or languages of The Bishop's Wife.</x:v>
      </x:c>
      <x:c r="D281" s="21" t="str">
        <x:v>The original languages of The Bishop's Wife are English. || The Bishop's Wife was originally made in English.</x:v>
      </x:c>
      <x:c r="E281" s="16" t="n">
        <x:v>2</x:v>
      </x:c>
      <x:c r="F281" s="21" t="str">
        <x:v>The original languages of The Bishop's Wife are English.</x:v>
      </x:c>
      <x:c r="G281" s="2" t="str">
        <x:v>B0</x:v>
      </x:c>
      <x:c r="H281" s="2" t="str">
        <x:v>自动评审02</x:v>
      </x:c>
      <x:c r="I281" s="16" t="n">
        <x:v>2</x:v>
      </x:c>
      <x:c r="J281" s="16" t="n">
        <x:v>2</x:v>
      </x:c>
      <x:c r="K281" s="16" t="n">
        <x:v>4</x:v>
      </x:c>
      <x:c r="L281" s="16" t="n">
        <x:v>0</x:v>
      </x:c>
      <x:c r="M281" s="21" t="str">
        <x:v>English覆盖全部参考语言，无额外事实；复数主语框架用于一个语言有轻微表达问题。</x:v>
      </x:c>
      <x:c r="N281" s="2" t="str">
        <x:v>gpt-6.1-sol</x:v>
      </x:c>
      <x:c r="O281" s="2" t="str">
        <x:v>ultra</x:v>
      </x:c>
      <x:c r="P281" s="16"/>
      <x:c r="Q281" s="16"/>
      <x:c r="R281" s="16"/>
      <x:c r="S281" s="16"/>
      <x:c r="T281" s="16"/>
    </x:row>
    <x:row r="282" ht="40" customHeight="1">
      <x:c r="A282" s="16" t="n">
        <x:v>39</x:v>
      </x:c>
      <x:c r="B282" s="2" t="str">
        <x:v>Q113052_P136_0</x:v>
      </x:c>
      <x:c r="C282" s="21" t="str">
        <x:v>What genre is Elizabethtown?</x:v>
      </x:c>
      <x:c r="D282" s="21" t="str">
        <x:v>Elizabethtown belongs to the following genres: romantic comedy. || The genres of Elizabethtown are romantic comedy.</x:v>
      </x:c>
      <x:c r="E282" s="16" t="n">
        <x:v>1</x:v>
      </x:c>
      <x:c r="F282" s="21" t="str">
        <x:v>Elizabethtown belongs to the following genres: romantic comedy.</x:v>
      </x:c>
      <x:c r="G282" s="2" t="str">
        <x:v>A0</x:v>
      </x:c>
      <x:c r="H282" s="2" t="str">
        <x:v>自动评审02</x:v>
      </x:c>
      <x:c r="I282" s="16" t="n">
        <x:v>2</x:v>
      </x:c>
      <x:c r="J282" s="16" t="n">
        <x:v>2</x:v>
      </x:c>
      <x:c r="K282" s="16" t="n">
        <x:v>4</x:v>
      </x:c>
      <x:c r="L282" s="16" t="n">
        <x:v>0</x:v>
      </x:c>
      <x:c r="M282" s="21" t="str">
        <x:v>浪漫喜剧这一唯一类型准确完整；只有一类却写following genres，单复数表达稍不自然。</x:v>
      </x:c>
      <x:c r="N282" s="2" t="str">
        <x:v>gpt-6.1-sol</x:v>
      </x:c>
      <x:c r="O282" s="2" t="str">
        <x:v>ultra</x:v>
      </x:c>
      <x:c r="P282" s="16"/>
      <x:c r="Q282" s="16"/>
      <x:c r="R282" s="16"/>
      <x:c r="S282" s="16"/>
      <x:c r="T282" s="16"/>
    </x:row>
    <x:row r="283" ht="40" customHeight="1">
      <x:c r="A283" s="16" t="n">
        <x:v>39</x:v>
      </x:c>
      <x:c r="B283" s="2" t="str">
        <x:v>Q113052_P136_0</x:v>
      </x:c>
      <x:c r="C283" s="21" t="str">
        <x:v>What genre is Elizabethtown?</x:v>
      </x:c>
      <x:c r="D283" s="21" t="str">
        <x:v>Elizabethtown belongs to the following genres: romantic comedy. || The genres of Elizabethtown are romantic comedy.</x:v>
      </x:c>
      <x:c r="E283" s="16" t="n">
        <x:v>2</x:v>
      </x:c>
      <x:c r="F283" s="21" t="str">
        <x:v>Elizabethtown belongs to the following genres: romantic comedy.</x:v>
      </x:c>
      <x:c r="G283" s="2" t="str">
        <x:v>B0</x:v>
      </x:c>
      <x:c r="H283" s="2" t="str">
        <x:v>自动评审02</x:v>
      </x:c>
      <x:c r="I283" s="16" t="n">
        <x:v>2</x:v>
      </x:c>
      <x:c r="J283" s="16" t="n">
        <x:v>2</x:v>
      </x:c>
      <x:c r="K283" s="16" t="n">
        <x:v>4</x:v>
      </x:c>
      <x:c r="L283" s="16" t="n">
        <x:v>0</x:v>
      </x:c>
      <x:c r="M283" s="21" t="str">
        <x:v>Elizabethtown的romantic comedy类型与参考一致；单项类型配复数genres略显生硬。</x:v>
      </x:c>
      <x:c r="N283" s="2" t="str">
        <x:v>gpt-6.1-sol</x:v>
      </x:c>
      <x:c r="O283" s="2" t="str">
        <x:v>ultra</x:v>
      </x:c>
      <x:c r="P283" s="16"/>
      <x:c r="Q283" s="16"/>
      <x:c r="R283" s="16"/>
      <x:c r="S283" s="16"/>
      <x:c r="T283" s="16"/>
    </x:row>
    <x:row r="284" ht="40" customHeight="1">
      <x:c r="A284" s="16" t="n">
        <x:v>40</x:v>
      </x:c>
      <x:c r="B284" s="2" t="str">
        <x:v>Q202548_P495_1</x:v>
      </x:c>
      <x:c r="C284" s="21" t="str">
        <x:v>What is the country of origin of Vertigo?</x:v>
      </x:c>
      <x:c r="D284" s="21" t="str">
        <x:v>Vertigo originated in United States. || The countries of origin of Vertigo are United States.</x:v>
      </x:c>
      <x:c r="E284" s="16" t="n">
        <x:v>1</x:v>
      </x:c>
      <x:c r="F284" s="21" t="str">
        <x:v>Vertigo originated in United States.</x:v>
      </x:c>
      <x:c r="G284" s="2" t="str">
        <x:v>B0</x:v>
      </x:c>
      <x:c r="H284" s="2" t="str">
        <x:v>自动评审02</x:v>
      </x:c>
      <x:c r="I284" s="16" t="n">
        <x:v>2</x:v>
      </x:c>
      <x:c r="J284" s="16" t="n">
        <x:v>2</x:v>
      </x:c>
      <x:c r="K284" s="16" t="n">
        <x:v>4</x:v>
      </x:c>
      <x:c r="L284" s="16" t="n">
        <x:v>0</x:v>
      </x:c>
      <x:c r="M284" s="21" t="str">
        <x:v>Vertigo产自美国这一参考信息完整正确；in United States缺少the。</x:v>
      </x:c>
      <x:c r="N284" s="2" t="str">
        <x:v>gpt-6.1-sol</x:v>
      </x:c>
      <x:c r="O284" s="2" t="str">
        <x:v>ultra</x:v>
      </x:c>
      <x:c r="P284" s="16"/>
      <x:c r="Q284" s="16"/>
      <x:c r="R284" s="16"/>
      <x:c r="S284" s="16"/>
      <x:c r="T284" s="16"/>
    </x:row>
    <x:row r="285" ht="40" customHeight="1">
      <x:c r="A285" s="16" t="n">
        <x:v>40</x:v>
      </x:c>
      <x:c r="B285" s="2" t="str">
        <x:v>Q202548_P495_1</x:v>
      </x:c>
      <x:c r="C285" s="21" t="str">
        <x:v>What is the country of origin of Vertigo?</x:v>
      </x:c>
      <x:c r="D285" s="21" t="str">
        <x:v>Vertigo originated in United States. || The countries of origin of Vertigo are United States.</x:v>
      </x:c>
      <x:c r="E285" s="16" t="n">
        <x:v>2</x:v>
      </x:c>
      <x:c r="F285" s="21" t="str">
        <x:v>Vertigo originated in United States.</x:v>
      </x:c>
      <x:c r="G285" s="2" t="str">
        <x:v>A0</x:v>
      </x:c>
      <x:c r="H285" s="2" t="str">
        <x:v>自动评审02</x:v>
      </x:c>
      <x:c r="I285" s="16" t="n">
        <x:v>2</x:v>
      </x:c>
      <x:c r="J285" s="16" t="n">
        <x:v>2</x:v>
      </x:c>
      <x:c r="K285" s="16" t="n">
        <x:v>4</x:v>
      </x:c>
      <x:c r="L285" s="16" t="n">
        <x:v>0</x:v>
      </x:c>
      <x:c r="M285" s="21" t="str">
        <x:v>美国这一唯一国家已给出，无额外断言；国家名United States前漏定冠词。</x:v>
      </x:c>
      <x:c r="N285" s="2" t="str">
        <x:v>gpt-6.1-sol</x:v>
      </x:c>
      <x:c r="O285" s="2" t="str">
        <x:v>ultra</x:v>
      </x:c>
      <x:c r="P285" s="16"/>
      <x:c r="Q285" s="16"/>
      <x:c r="R285" s="16"/>
      <x:c r="S285" s="16"/>
      <x:c r="T285" s="16"/>
    </x:row>
    <x:row r="286" ht="40" customHeight="1">
      <x:c r="A286" s="16" t="n">
        <x:v>41</x:v>
      </x:c>
      <x:c r="B286" s="2" t="str">
        <x:v>Q172271_P364_1</x:v>
      </x:c>
      <x:c r="C286" s="21" t="str">
        <x:v>Which languages was Maleficent originally made in?</x:v>
      </x:c>
      <x:c r="D286" s="21" t="str">
        <x:v>The original languages of Maleficent are English. || Maleficent was originally made in English.</x:v>
      </x:c>
      <x:c r="E286" s="16" t="n">
        <x:v>1</x:v>
      </x:c>
      <x:c r="F286" s="21" t="str">
        <x:v>The original languages of Maleficent are English.</x:v>
      </x:c>
      <x:c r="G286" s="2" t="str">
        <x:v>A0</x:v>
      </x:c>
      <x:c r="H286" s="2" t="str">
        <x:v>自动评审02</x:v>
      </x:c>
      <x:c r="I286" s="16" t="n">
        <x:v>2</x:v>
      </x:c>
      <x:c r="J286" s="16" t="n">
        <x:v>2</x:v>
      </x:c>
      <x:c r="K286" s="16" t="n">
        <x:v>4</x:v>
      </x:c>
      <x:c r="L286" s="16" t="n">
        <x:v>0</x:v>
      </x:c>
      <x:c r="M286" s="21" t="str">
        <x:v>Maleficent原始语言English与参考一致；一个语言使用复数languages…are稍不自然。</x:v>
      </x:c>
      <x:c r="N286" s="2" t="str">
        <x:v>gpt-6.1-sol</x:v>
      </x:c>
      <x:c r="O286" s="2" t="str">
        <x:v>ultra</x:v>
      </x:c>
      <x:c r="P286" s="16"/>
      <x:c r="Q286" s="16"/>
      <x:c r="R286" s="16"/>
      <x:c r="S286" s="16"/>
      <x:c r="T286" s="16"/>
    </x:row>
    <x:row r="287" ht="40" customHeight="1">
      <x:c r="A287" s="16" t="n">
        <x:v>41</x:v>
      </x:c>
      <x:c r="B287" s="2" t="str">
        <x:v>Q172271_P364_1</x:v>
      </x:c>
      <x:c r="C287" s="21" t="str">
        <x:v>Which languages was Maleficent originally made in?</x:v>
      </x:c>
      <x:c r="D287" s="21" t="str">
        <x:v>The original languages of Maleficent are English. || Maleficent was originally made in English.</x:v>
      </x:c>
      <x:c r="E287" s="16" t="n">
        <x:v>2</x:v>
      </x:c>
      <x:c r="F287" s="21" t="str">
        <x:v>The original languages of Maleficent are English.</x:v>
      </x:c>
      <x:c r="G287" s="2" t="str">
        <x:v>B0</x:v>
      </x:c>
      <x:c r="H287" s="2" t="str">
        <x:v>自动评审02</x:v>
      </x:c>
      <x:c r="I287" s="16" t="n">
        <x:v>2</x:v>
      </x:c>
      <x:c r="J287" s="16" t="n">
        <x:v>2</x:v>
      </x:c>
      <x:c r="K287" s="16" t="n">
        <x:v>4</x:v>
      </x:c>
      <x:c r="L287" s="16" t="n">
        <x:v>0</x:v>
      </x:c>
      <x:c r="M287" s="21" t="str">
        <x:v>英语这一语言完整正确，无新增事实；单项语言配复数框架有轻微表达问题。</x:v>
      </x:c>
      <x:c r="N287" s="2" t="str">
        <x:v>gpt-6.1-sol</x:v>
      </x:c>
      <x:c r="O287" s="2" t="str">
        <x:v>ultra</x:v>
      </x:c>
      <x:c r="P287" s="16"/>
      <x:c r="Q287" s="16"/>
      <x:c r="R287" s="16"/>
      <x:c r="S287" s="16"/>
      <x:c r="T287" s="16"/>
    </x:row>
    <x:row r="288" ht="40" customHeight="1">
      <x:c r="A288" s="16" t="n">
        <x:v>42</x:v>
      </x:c>
      <x:c r="B288" s="2" t="str">
        <x:v>Q20982361_P495_2</x:v>
      </x:c>
      <x:c r="C288" s="21" t="str">
        <x:v>Name the countries of origin of Hardcore Henry.</x:v>
      </x:c>
      <x:c r="D288" s="21" t="str">
        <x:v>Hardcore Henry originated in United States and Russia. || The countries of origin of Hardcore Henry are United States and Russia.</x:v>
      </x:c>
      <x:c r="E288" s="16" t="n">
        <x:v>1</x:v>
      </x:c>
      <x:c r="F288" s="21" t="str">
        <x:v>Hardcore Henry originated in United States and Russia.</x:v>
      </x:c>
      <x:c r="G288" s="2" t="str">
        <x:v>B0</x:v>
      </x:c>
      <x:c r="H288" s="2" t="str">
        <x:v>自动评审02</x:v>
      </x:c>
      <x:c r="I288" s="16" t="n">
        <x:v>2</x:v>
      </x:c>
      <x:c r="J288" s="16" t="n">
        <x:v>2</x:v>
      </x:c>
      <x:c r="K288" s="16" t="n">
        <x:v>4</x:v>
      </x:c>
      <x:c r="L288" s="16" t="n">
        <x:v>0</x:v>
      </x:c>
      <x:c r="M288" s="21" t="str">
        <x:v>美国和俄罗斯两国产地均准确完整；United States前漏the。</x:v>
      </x:c>
      <x:c r="N288" s="2" t="str">
        <x:v>gpt-6.1-sol</x:v>
      </x:c>
      <x:c r="O288" s="2" t="str">
        <x:v>ultra</x:v>
      </x:c>
      <x:c r="P288" s="16"/>
      <x:c r="Q288" s="16"/>
      <x:c r="R288" s="16"/>
      <x:c r="S288" s="16"/>
      <x:c r="T288" s="16"/>
    </x:row>
    <x:row r="289" ht="40" customHeight="1">
      <x:c r="A289" s="16" t="n">
        <x:v>42</x:v>
      </x:c>
      <x:c r="B289" s="2" t="str">
        <x:v>Q20982361_P495_2</x:v>
      </x:c>
      <x:c r="C289" s="21" t="str">
        <x:v>Name the countries of origin of Hardcore Henry.</x:v>
      </x:c>
      <x:c r="D289" s="21" t="str">
        <x:v>Hardcore Henry originated in United States and Russia. || The countries of origin of Hardcore Henry are United States and Russia.</x:v>
      </x:c>
      <x:c r="E289" s="16" t="n">
        <x:v>2</x:v>
      </x:c>
      <x:c r="F289" s="21" t="str">
        <x:v>Hardcore Henry originated in United States and Russia.</x:v>
      </x:c>
      <x:c r="G289" s="2" t="str">
        <x:v>A0</x:v>
      </x:c>
      <x:c r="H289" s="2" t="str">
        <x:v>自动评审02</x:v>
      </x:c>
      <x:c r="I289" s="16" t="n">
        <x:v>2</x:v>
      </x:c>
      <x:c r="J289" s="16" t="n">
        <x:v>2</x:v>
      </x:c>
      <x:c r="K289" s="16" t="n">
        <x:v>4</x:v>
      </x:c>
      <x:c r="L289" s="16" t="n">
        <x:v>0</x:v>
      </x:c>
      <x:c r="M289" s="21" t="str">
        <x:v>Hardcore Henry对应United States与Russia，覆盖参考两项；美国名称前少定冠词。</x:v>
      </x:c>
      <x:c r="N289" s="2" t="str">
        <x:v>gpt-6.1-sol</x:v>
      </x:c>
      <x:c r="O289" s="2" t="str">
        <x:v>ultra</x:v>
      </x:c>
      <x:c r="P289" s="16"/>
      <x:c r="Q289" s="16"/>
      <x:c r="R289" s="16"/>
      <x:c r="S289" s="16"/>
      <x:c r="T289" s="16"/>
    </x:row>
    <x:row r="290" ht="40" customHeight="1">
      <x:c r="A290" s="16" t="n">
        <x:v>43</x:v>
      </x:c>
      <x:c r="B290" s="2" t="str">
        <x:v>Q1192679_P57_0</x:v>
      </x:c>
      <x:c r="C290" s="21" t="str">
        <x:v>Who directed Brother?</x:v>
      </x:c>
      <x:c r="D290" s="21" t="str">
        <x:v>Brother was directed by Aleksei Balabanov. || The director or directors of Brother are Aleksei Balabanov.</x:v>
      </x:c>
      <x:c r="E290" s="16" t="n">
        <x:v>1</x:v>
      </x:c>
      <x:c r="F290" s="21" t="str">
        <x:v>Brother was directed by Aleksei Balabanov.</x:v>
      </x:c>
      <x:c r="G290" s="2" t="str">
        <x:v>B0</x:v>
      </x:c>
      <x:c r="H290" s="2" t="str">
        <x:v>自动评审02</x:v>
      </x:c>
      <x:c r="I290" s="16" t="n">
        <x:v>2</x:v>
      </x:c>
      <x:c r="J290" s="16" t="n">
        <x:v>2</x:v>
      </x:c>
      <x:c r="K290" s="16" t="n">
        <x:v>5</x:v>
      </x:c>
      <x:c r="L290" s="16" t="n">
        <x:v>0</x:v>
      </x:c>
      <x:c r="M290" s="21" t="str">
        <x:v>Aleksei Balabanov是参考所列导演，执导关系准确完整，语句流畅。</x:v>
      </x:c>
      <x:c r="N290" s="2" t="str">
        <x:v>gpt-6.1-sol</x:v>
      </x:c>
      <x:c r="O290" s="2" t="str">
        <x:v>ultra</x:v>
      </x:c>
      <x:c r="P290" s="16"/>
      <x:c r="Q290" s="16"/>
      <x:c r="R290" s="16"/>
      <x:c r="S290" s="16"/>
      <x:c r="T290" s="16"/>
    </x:row>
    <x:row r="291" ht="40" customHeight="1">
      <x:c r="A291" s="16" t="n">
        <x:v>43</x:v>
      </x:c>
      <x:c r="B291" s="2" t="str">
        <x:v>Q1192679_P57_0</x:v>
      </x:c>
      <x:c r="C291" s="21" t="str">
        <x:v>Who directed Brother?</x:v>
      </x:c>
      <x:c r="D291" s="21" t="str">
        <x:v>Brother was directed by Aleksei Balabanov. || The director or directors of Brother are Aleksei Balabanov.</x:v>
      </x:c>
      <x:c r="E291" s="16" t="n">
        <x:v>2</x:v>
      </x:c>
      <x:c r="F291" s="21" t="str">
        <x:v>Brother was directed by Aleksei Balabanov.</x:v>
      </x:c>
      <x:c r="G291" s="2" t="str">
        <x:v>A0</x:v>
      </x:c>
      <x:c r="H291" s="2" t="str">
        <x:v>自动评审02</x:v>
      </x:c>
      <x:c r="I291" s="16" t="n">
        <x:v>2</x:v>
      </x:c>
      <x:c r="J291" s="16" t="n">
        <x:v>2</x:v>
      </x:c>
      <x:c r="K291" s="16" t="n">
        <x:v>5</x:v>
      </x:c>
      <x:c r="L291" s="16" t="n">
        <x:v>0</x:v>
      </x:c>
      <x:c r="M291" s="21" t="str">
        <x:v>Brother由Aleksei Balabanov执导这一信息正确且齐全，无额外断言。</x:v>
      </x:c>
      <x:c r="N291" s="2" t="str">
        <x:v>gpt-6.1-sol</x:v>
      </x:c>
      <x:c r="O291" s="2" t="str">
        <x:v>ultra</x:v>
      </x:c>
      <x:c r="P291" s="16"/>
      <x:c r="Q291" s="16"/>
      <x:c r="R291" s="16"/>
      <x:c r="S291" s="16"/>
      <x:c r="T291" s="16"/>
    </x:row>
    <x:row r="292" ht="40" customHeight="1">
      <x:c r="A292" s="16" t="n">
        <x:v>44</x:v>
      </x:c>
      <x:c r="B292" s="2" t="str">
        <x:v>Q909063_P364_1</x:v>
      </x:c>
      <x:c r="C292" s="21" t="str">
        <x:v>Which languages was Halloween (2007) originally made in?</x:v>
      </x:c>
      <x:c r="D292" s="21" t="str">
        <x:v>The original languages of Halloween are English. || Halloween was originally made in English.</x:v>
      </x:c>
      <x:c r="E292" s="16" t="n">
        <x:v>1</x:v>
      </x:c>
      <x:c r="F292" s="21" t="str">
        <x:v>The original languages of Halloween are English.</x:v>
      </x:c>
      <x:c r="G292" s="2" t="str">
        <x:v>A0</x:v>
      </x:c>
      <x:c r="H292" s="2" t="str">
        <x:v>自动评审02</x:v>
      </x:c>
      <x:c r="I292" s="16" t="n">
        <x:v>2</x:v>
      </x:c>
      <x:c r="J292" s="16" t="n">
        <x:v>2</x:v>
      </x:c>
      <x:c r="K292" s="16" t="n">
        <x:v>4</x:v>
      </x:c>
      <x:c r="L292" s="16" t="n">
        <x:v>0</x:v>
      </x:c>
      <x:c r="M292" s="21" t="str">
        <x:v>英语符合本题2007年Halloween的参考语言；单一语言使用复数languages略不自然。</x:v>
      </x:c>
      <x:c r="N292" s="2" t="str">
        <x:v>gpt-6.1-sol</x:v>
      </x:c>
      <x:c r="O292" s="2" t="str">
        <x:v>ultra</x:v>
      </x:c>
      <x:c r="P292" s="16"/>
      <x:c r="Q292" s="16"/>
      <x:c r="R292" s="16"/>
      <x:c r="S292" s="16"/>
      <x:c r="T292" s="16"/>
    </x:row>
    <x:row r="293" ht="40" customHeight="1">
      <x:c r="A293" s="16" t="n">
        <x:v>44</x:v>
      </x:c>
      <x:c r="B293" s="2" t="str">
        <x:v>Q909063_P364_1</x:v>
      </x:c>
      <x:c r="C293" s="21" t="str">
        <x:v>Which languages was Halloween (2007) originally made in?</x:v>
      </x:c>
      <x:c r="D293" s="21" t="str">
        <x:v>The original languages of Halloween are English. || Halloween was originally made in English.</x:v>
      </x:c>
      <x:c r="E293" s="16" t="n">
        <x:v>2</x:v>
      </x:c>
      <x:c r="F293" s="21" t="str">
        <x:v>The original languages of Halloween are English.</x:v>
      </x:c>
      <x:c r="G293" s="2" t="str">
        <x:v>B0</x:v>
      </x:c>
      <x:c r="H293" s="2" t="str">
        <x:v>自动评审02</x:v>
      </x:c>
      <x:c r="I293" s="16" t="n">
        <x:v>2</x:v>
      </x:c>
      <x:c r="J293" s="16" t="n">
        <x:v>2</x:v>
      </x:c>
      <x:c r="K293" s="16" t="n">
        <x:v>4</x:v>
      </x:c>
      <x:c r="L293" s="16" t="n">
        <x:v>0</x:v>
      </x:c>
      <x:c r="M293" s="21" t="str">
        <x:v>English完整回答语言问题，未重复年份不妨碍本题指向；复数语言框架稍生硬。</x:v>
      </x:c>
      <x:c r="N293" s="2" t="str">
        <x:v>gpt-6.1-sol</x:v>
      </x:c>
      <x:c r="O293" s="2" t="str">
        <x:v>ultra</x:v>
      </x:c>
      <x:c r="P293" s="16"/>
      <x:c r="Q293" s="16"/>
      <x:c r="R293" s="16"/>
      <x:c r="S293" s="16"/>
      <x:c r="T293" s="16"/>
    </x:row>
    <x:row r="294" ht="40" customHeight="1">
      <x:c r="A294" s="16" t="n">
        <x:v>45</x:v>
      </x:c>
      <x:c r="B294" s="2" t="str">
        <x:v>Q588420_P136_1</x:v>
      </x:c>
      <x:c r="C294" s="21" t="str">
        <x:v>Which genres does Magnolia belong to?</x:v>
      </x:c>
      <x:c r="D294" s="21" t="str">
        <x:v>Magnolia belongs to the following genres: drama film. || The genres of Magnolia are drama film.</x:v>
      </x:c>
      <x:c r="E294" s="16" t="n">
        <x:v>1</x:v>
      </x:c>
      <x:c r="F294" s="21" t="str">
        <x:v>Magnolia belongs to the following genres: drama film.</x:v>
      </x:c>
      <x:c r="G294" s="2" t="str">
        <x:v>A0</x:v>
      </x:c>
      <x:c r="H294" s="2" t="str">
        <x:v>自动评审02</x:v>
      </x:c>
      <x:c r="I294" s="16" t="n">
        <x:v>2</x:v>
      </x:c>
      <x:c r="J294" s="16" t="n">
        <x:v>2</x:v>
      </x:c>
      <x:c r="K294" s="16" t="n">
        <x:v>4</x:v>
      </x:c>
      <x:c r="L294" s="16" t="n">
        <x:v>0</x:v>
      </x:c>
      <x:c r="M294" s="21" t="str">
        <x:v>Magnolia的剧情片类型完整准确；仅列一类却使用following genres，数的表达略不自然。</x:v>
      </x:c>
      <x:c r="N294" s="2" t="str">
        <x:v>gpt-6.1-sol</x:v>
      </x:c>
      <x:c r="O294" s="2" t="str">
        <x:v>ultra</x:v>
      </x:c>
      <x:c r="P294" s="16"/>
      <x:c r="Q294" s="16"/>
      <x:c r="R294" s="16"/>
      <x:c r="S294" s="16"/>
      <x:c r="T294" s="16"/>
    </x:row>
    <x:row r="295" ht="40" customHeight="1">
      <x:c r="A295" s="16" t="n">
        <x:v>45</x:v>
      </x:c>
      <x:c r="B295" s="2" t="str">
        <x:v>Q588420_P136_1</x:v>
      </x:c>
      <x:c r="C295" s="21" t="str">
        <x:v>Which genres does Magnolia belong to?</x:v>
      </x:c>
      <x:c r="D295" s="21" t="str">
        <x:v>Magnolia belongs to the following genres: drama film. || The genres of Magnolia are drama film.</x:v>
      </x:c>
      <x:c r="E295" s="16" t="n">
        <x:v>2</x:v>
      </x:c>
      <x:c r="F295" s="21" t="str">
        <x:v>Magnolia belongs to the following genres: drama film.</x:v>
      </x:c>
      <x:c r="G295" s="2" t="str">
        <x:v>B0</x:v>
      </x:c>
      <x:c r="H295" s="2" t="str">
        <x:v>自动评审02</x:v>
      </x:c>
      <x:c r="I295" s="16" t="n">
        <x:v>2</x:v>
      </x:c>
      <x:c r="J295" s="16" t="n">
        <x:v>2</x:v>
      </x:c>
      <x:c r="K295" s="16" t="n">
        <x:v>4</x:v>
      </x:c>
      <x:c r="L295" s="16" t="n">
        <x:v>0</x:v>
      </x:c>
      <x:c r="M295" s="21" t="str">
        <x:v>参考唯一类型drama film已给出，无额外类型；单项内容配复数genres略生硬。</x:v>
      </x:c>
      <x:c r="N295" s="2" t="str">
        <x:v>gpt-6.1-sol</x:v>
      </x:c>
      <x:c r="O295" s="2" t="str">
        <x:v>ultra</x:v>
      </x:c>
      <x:c r="P295" s="16"/>
      <x:c r="Q295" s="16"/>
      <x:c r="R295" s="16"/>
      <x:c r="S295" s="16"/>
      <x:c r="T295" s="16"/>
    </x:row>
    <x:row r="296" ht="40" customHeight="1">
      <x:c r="A296" s="16" t="n">
        <x:v>46</x:v>
      </x:c>
      <x:c r="B296" s="2" t="str">
        <x:v>Q1020603_P57_0</x:v>
      </x:c>
      <x:c r="C296" s="21" t="str">
        <x:v>Who directed Stage Door?</x:v>
      </x:c>
      <x:c r="D296" s="21" t="str">
        <x:v>Stage Door was directed by Gregory La Cava. || The director or directors of Stage Door are Gregory La Cava.</x:v>
      </x:c>
      <x:c r="E296" s="16" t="n">
        <x:v>1</x:v>
      </x:c>
      <x:c r="F296" s="21" t="str">
        <x:v>Stage Door was directed by Gregory La Cava.</x:v>
      </x:c>
      <x:c r="G296" s="2" t="str">
        <x:v>B0</x:v>
      </x:c>
      <x:c r="H296" s="2" t="str">
        <x:v>自动评审02</x:v>
      </x:c>
      <x:c r="I296" s="16" t="n">
        <x:v>2</x:v>
      </x:c>
      <x:c r="J296" s="16" t="n">
        <x:v>2</x:v>
      </x:c>
      <x:c r="K296" s="16" t="n">
        <x:v>5</x:v>
      </x:c>
      <x:c r="L296" s="16" t="n">
        <x:v>0</x:v>
      </x:c>
      <x:c r="M296" s="21" t="str">
        <x:v>Gregory La Cava这一导演姓名与参考一致，回答完整，英语自然。</x:v>
      </x:c>
      <x:c r="N296" s="2" t="str">
        <x:v>gpt-6.1-sol</x:v>
      </x:c>
      <x:c r="O296" s="2" t="str">
        <x:v>ultra</x:v>
      </x:c>
      <x:c r="P296" s="16"/>
      <x:c r="Q296" s="16"/>
      <x:c r="R296" s="16"/>
      <x:c r="S296" s="16"/>
      <x:c r="T296" s="16"/>
    </x:row>
    <x:row r="297" ht="40" customHeight="1">
      <x:c r="A297" s="16" t="n">
        <x:v>46</x:v>
      </x:c>
      <x:c r="B297" s="2" t="str">
        <x:v>Q1020603_P57_0</x:v>
      </x:c>
      <x:c r="C297" s="21" t="str">
        <x:v>Who directed Stage Door?</x:v>
      </x:c>
      <x:c r="D297" s="21" t="str">
        <x:v>Stage Door was directed by Gregory La Cava. || The director or directors of Stage Door are Gregory La Cava.</x:v>
      </x:c>
      <x:c r="E297" s="16" t="n">
        <x:v>2</x:v>
      </x:c>
      <x:c r="F297" s="21" t="str">
        <x:v>Stage Door was directed by Gregory La Cava.</x:v>
      </x:c>
      <x:c r="G297" s="2" t="str">
        <x:v>A0</x:v>
      </x:c>
      <x:c r="H297" s="2" t="str">
        <x:v>自动评审02</x:v>
      </x:c>
      <x:c r="I297" s="16" t="n">
        <x:v>2</x:v>
      </x:c>
      <x:c r="J297" s="16" t="n">
        <x:v>2</x:v>
      </x:c>
      <x:c r="K297" s="16" t="n">
        <x:v>5</x:v>
      </x:c>
      <x:c r="L297" s="16" t="n">
        <x:v>0</x:v>
      </x:c>
      <x:c r="M297" s="21" t="str">
        <x:v>Stage Door及导演Gregory La Cava对应正确，所需信息无遗漏，句子清楚。</x:v>
      </x:c>
      <x:c r="N297" s="2" t="str">
        <x:v>gpt-6.1-sol</x:v>
      </x:c>
      <x:c r="O297" s="2" t="str">
        <x:v>ultra</x:v>
      </x:c>
      <x:c r="P297" s="16"/>
      <x:c r="Q297" s="16"/>
      <x:c r="R297" s="16"/>
      <x:c r="S297" s="16"/>
      <x:c r="T297" s="16"/>
    </x:row>
    <x:row r="298" ht="40" customHeight="1">
      <x:c r="A298" s="16" t="n">
        <x:v>47</x:v>
      </x:c>
      <x:c r="B298" s="2" t="str">
        <x:v>Q431873_P495_0</x:v>
      </x:c>
      <x:c r="C298" s="21" t="str">
        <x:v>Which country did The Wolf Man originate in?</x:v>
      </x:c>
      <x:c r="D298" s="21" t="str">
        <x:v>The Wolf Man originated in United States. || The countries of origin of The Wolf Man are United States.</x:v>
      </x:c>
      <x:c r="E298" s="16" t="n">
        <x:v>1</x:v>
      </x:c>
      <x:c r="F298" s="21" t="str">
        <x:v>The Wolf Man originated in United States.</x:v>
      </x:c>
      <x:c r="G298" s="2" t="str">
        <x:v>B0</x:v>
      </x:c>
      <x:c r="H298" s="2" t="str">
        <x:v>自动评审02</x:v>
      </x:c>
      <x:c r="I298" s="16" t="n">
        <x:v>2</x:v>
      </x:c>
      <x:c r="J298" s="16" t="n">
        <x:v>2</x:v>
      </x:c>
      <x:c r="K298" s="16" t="n">
        <x:v>4</x:v>
      </x:c>
      <x:c r="L298" s="16" t="n">
        <x:v>0</x:v>
      </x:c>
      <x:c r="M298" s="21" t="str">
        <x:v>The Wolf Man的美国产地准确完整；United States前缺少the。</x:v>
      </x:c>
      <x:c r="N298" s="2" t="str">
        <x:v>gpt-6.1-sol</x:v>
      </x:c>
      <x:c r="O298" s="2" t="str">
        <x:v>ultra</x:v>
      </x:c>
      <x:c r="P298" s="16"/>
      <x:c r="Q298" s="16"/>
      <x:c r="R298" s="16"/>
      <x:c r="S298" s="16"/>
      <x:c r="T298" s="16"/>
    </x:row>
    <x:row r="299" ht="40" customHeight="1">
      <x:c r="A299" s="16" t="n">
        <x:v>47</x:v>
      </x:c>
      <x:c r="B299" s="2" t="str">
        <x:v>Q431873_P495_0</x:v>
      </x:c>
      <x:c r="C299" s="21" t="str">
        <x:v>Which country did The Wolf Man originate in?</x:v>
      </x:c>
      <x:c r="D299" s="21" t="str">
        <x:v>The Wolf Man originated in United States. || The countries of origin of The Wolf Man are United States.</x:v>
      </x:c>
      <x:c r="E299" s="16" t="n">
        <x:v>2</x:v>
      </x:c>
      <x:c r="F299" s="21" t="str">
        <x:v>The Wolf Man originated in United States.</x:v>
      </x:c>
      <x:c r="G299" s="2" t="str">
        <x:v>A0</x:v>
      </x:c>
      <x:c r="H299" s="2" t="str">
        <x:v>自动评审02</x:v>
      </x:c>
      <x:c r="I299" s="16" t="n">
        <x:v>2</x:v>
      </x:c>
      <x:c r="J299" s="16" t="n">
        <x:v>2</x:v>
      </x:c>
      <x:c r="K299" s="16" t="n">
        <x:v>4</x:v>
      </x:c>
      <x:c r="L299" s="16" t="n">
        <x:v>0</x:v>
      </x:c>
      <x:c r="M299" s="21" t="str">
        <x:v>美国这一唯一产地与参考一致；国家名称前漏定冠词，理解仍然清楚。</x:v>
      </x:c>
      <x:c r="N299" s="2" t="str">
        <x:v>gpt-6.1-sol</x:v>
      </x:c>
      <x:c r="O299" s="2" t="str">
        <x:v>ultra</x:v>
      </x:c>
      <x:c r="P299" s="16"/>
      <x:c r="Q299" s="16"/>
      <x:c r="R299" s="16"/>
      <x:c r="S299" s="16"/>
      <x:c r="T299" s="16"/>
    </x:row>
    <x:row r="300" ht="40" customHeight="1">
      <x:c r="A300" s="16" t="n">
        <x:v>48</x:v>
      </x:c>
      <x:c r="B300" s="2" t="str">
        <x:v>Q112322116_P364_1</x:v>
      </x:c>
      <x:c r="C300" s="21" t="str">
        <x:v>Which languages was Captain America: Brave New World originally made in?</x:v>
      </x:c>
      <x:c r="D300" s="21" t="str">
        <x:v>The original languages of Captain America: Brave New World are English. || Captain America: Brave New World was originally made in English.</x:v>
      </x:c>
      <x:c r="E300" s="16" t="n">
        <x:v>1</x:v>
      </x:c>
      <x:c r="F300" s="21" t="str">
        <x:v>The original languages of Captain America: Brave New World are English.</x:v>
      </x:c>
      <x:c r="G300" s="2" t="str">
        <x:v>A0</x:v>
      </x:c>
      <x:c r="H300" s="2" t="str">
        <x:v>自动评审02</x:v>
      </x:c>
      <x:c r="I300" s="16" t="n">
        <x:v>2</x:v>
      </x:c>
      <x:c r="J300" s="16" t="n">
        <x:v>2</x:v>
      </x:c>
      <x:c r="K300" s="16" t="n">
        <x:v>4</x:v>
      </x:c>
      <x:c r="L300" s="16" t="n">
        <x:v>0</x:v>
      </x:c>
      <x:c r="M300" s="21" t="str">
        <x:v>Captain America: Brave New World的英语语言信息完整；复数languages用于一项稍不自然。</x:v>
      </x:c>
      <x:c r="N300" s="2" t="str">
        <x:v>gpt-6.1-sol</x:v>
      </x:c>
      <x:c r="O300" s="2" t="str">
        <x:v>ultra</x:v>
      </x:c>
      <x:c r="P300" s="16"/>
      <x:c r="Q300" s="16"/>
      <x:c r="R300" s="16"/>
      <x:c r="S300" s="16"/>
      <x:c r="T300" s="16"/>
    </x:row>
    <x:row r="301" ht="40" customHeight="1">
      <x:c r="A301" s="16" t="n">
        <x:v>48</x:v>
      </x:c>
      <x:c r="B301" s="2" t="str">
        <x:v>Q112322116_P364_1</x:v>
      </x:c>
      <x:c r="C301" s="21" t="str">
        <x:v>Which languages was Captain America: Brave New World originally made in?</x:v>
      </x:c>
      <x:c r="D301" s="21" t="str">
        <x:v>The original languages of Captain America: Brave New World are English. || Captain America: Brave New World was originally made in English.</x:v>
      </x:c>
      <x:c r="E301" s="16" t="n">
        <x:v>2</x:v>
      </x:c>
      <x:c r="F301" s="21" t="str">
        <x:v>The original languages of Captain America: Brave New World are English.</x:v>
      </x:c>
      <x:c r="G301" s="2" t="str">
        <x:v>B0</x:v>
      </x:c>
      <x:c r="H301" s="2" t="str">
        <x:v>自动评审02</x:v>
      </x:c>
      <x:c r="I301" s="16" t="n">
        <x:v>2</x:v>
      </x:c>
      <x:c r="J301" s="16" t="n">
        <x:v>2</x:v>
      </x:c>
      <x:c r="K301" s="16" t="n">
        <x:v>4</x:v>
      </x:c>
      <x:c r="L301" s="16" t="n">
        <x:v>0</x:v>
      </x:c>
      <x:c r="M301" s="21" t="str">
        <x:v>English准确覆盖参考全部语言，无新增事实；单项语言配languages…are略显生硬。</x:v>
      </x:c>
      <x:c r="N301" s="2" t="str">
        <x:v>gpt-6.1-sol</x:v>
      </x:c>
      <x:c r="O301" s="2" t="str">
        <x:v>ultra</x:v>
      </x:c>
      <x:c r="P301" s="16"/>
      <x:c r="Q301" s="16"/>
      <x:c r="R301" s="16"/>
      <x:c r="S301" s="16"/>
      <x:c r="T301" s="16"/>
    </x:row>
    <x:row r="302" ht="40" customHeight="1">
      <x:c r="A302" s="16" t="n">
        <x:v>49</x:v>
      </x:c>
      <x:c r="B302" s="2" t="str">
        <x:v>Q172241_P495_2</x:v>
      </x:c>
      <x:c r="C302" s="21" t="str">
        <x:v>Name the countries of origin of The Shawshank Redemption.</x:v>
      </x:c>
      <x:c r="D302" s="21" t="str">
        <x:v>The Shawshank Redemption originated in United States. || The countries of origin of The Shawshank Redemption are United States.</x:v>
      </x:c>
      <x:c r="E302" s="16" t="n">
        <x:v>1</x:v>
      </x:c>
      <x:c r="F302" s="21" t="str">
        <x:v>The Shawshank Redemption originated in United States.</x:v>
      </x:c>
      <x:c r="G302" s="2" t="str">
        <x:v>B0</x:v>
      </x:c>
      <x:c r="H302" s="2" t="str">
        <x:v>自动评审02</x:v>
      </x:c>
      <x:c r="I302" s="16" t="n">
        <x:v>2</x:v>
      </x:c>
      <x:c r="J302" s="16" t="n">
        <x:v>2</x:v>
      </x:c>
      <x:c r="K302" s="16" t="n">
        <x:v>4</x:v>
      </x:c>
      <x:c r="L302" s="16" t="n">
        <x:v>0</x:v>
      </x:c>
      <x:c r="M302" s="21" t="str">
        <x:v>The Shawshank Redemption产自美国与参考一致；in United States漏用the。</x:v>
      </x:c>
      <x:c r="N302" s="2" t="str">
        <x:v>gpt-6.1-sol</x:v>
      </x:c>
      <x:c r="O302" s="2" t="str">
        <x:v>ultra</x:v>
      </x:c>
      <x:c r="P302" s="16"/>
      <x:c r="Q302" s="16"/>
      <x:c r="R302" s="16"/>
      <x:c r="S302" s="16"/>
      <x:c r="T302" s="16"/>
    </x:row>
    <x:row r="303" ht="40" customHeight="1">
      <x:c r="A303" s="16" t="n">
        <x:v>49</x:v>
      </x:c>
      <x:c r="B303" s="2" t="str">
        <x:v>Q172241_P495_2</x:v>
      </x:c>
      <x:c r="C303" s="21" t="str">
        <x:v>Name the countries of origin of The Shawshank Redemption.</x:v>
      </x:c>
      <x:c r="D303" s="21" t="str">
        <x:v>The Shawshank Redemption originated in United States. || The countries of origin of The Shawshank Redemption are United States.</x:v>
      </x:c>
      <x:c r="E303" s="16" t="n">
        <x:v>2</x:v>
      </x:c>
      <x:c r="F303" s="21" t="str">
        <x:v>The Shawshank Redemption originated in United States.</x:v>
      </x:c>
      <x:c r="G303" s="2" t="str">
        <x:v>A0</x:v>
      </x:c>
      <x:c r="H303" s="2" t="str">
        <x:v>自动评审02</x:v>
      </x:c>
      <x:c r="I303" s="16" t="n">
        <x:v>2</x:v>
      </x:c>
      <x:c r="J303" s="16" t="n">
        <x:v>2</x:v>
      </x:c>
      <x:c r="K303" s="16" t="n">
        <x:v>4</x:v>
      </x:c>
      <x:c r="L303" s="16" t="n">
        <x:v>0</x:v>
      </x:c>
      <x:c r="M303" s="21" t="str">
        <x:v>唯一参考国家United States已完整回答；定冠词缺失构成轻微语言问题。</x:v>
      </x:c>
      <x:c r="N303" s="2" t="str">
        <x:v>gpt-6.1-sol</x:v>
      </x:c>
      <x:c r="O303" s="2" t="str">
        <x:v>ultra</x:v>
      </x:c>
      <x:c r="P303" s="16"/>
      <x:c r="Q303" s="16"/>
      <x:c r="R303" s="16"/>
      <x:c r="S303" s="16"/>
      <x:c r="T303" s="16"/>
    </x:row>
    <x:row r="304" ht="40" customHeight="1">
      <x:c r="A304" s="16" t="n">
        <x:v>50</x:v>
      </x:c>
      <x:c r="B304" s="2" t="str">
        <x:v>Q1415194_P57_1</x:v>
      </x:c>
      <x:c r="C304" s="21" t="str">
        <x:v>Who was the director of Kin-dza-dza!?</x:v>
      </x:c>
      <x:c r="D304" s="21" t="str">
        <x:v>Kin-dza-dza! was directed by Georgiy Daneliya. || The director or directors of Kin-dza-dza! are Georgiy Daneliya.</x:v>
      </x:c>
      <x:c r="E304" s="16" t="n">
        <x:v>1</x:v>
      </x:c>
      <x:c r="F304" s="21" t="str">
        <x:v>Kin-dza-dza! was directed by Georgiy Daneliya.</x:v>
      </x:c>
      <x:c r="G304" s="2" t="str">
        <x:v>B0</x:v>
      </x:c>
      <x:c r="H304" s="2" t="str">
        <x:v>自动评审02</x:v>
      </x:c>
      <x:c r="I304" s="16" t="n">
        <x:v>2</x:v>
      </x:c>
      <x:c r="J304" s="16" t="n">
        <x:v>2</x:v>
      </x:c>
      <x:c r="K304" s="16" t="n">
        <x:v>5</x:v>
      </x:c>
      <x:c r="L304" s="16" t="n">
        <x:v>0</x:v>
      </x:c>
      <x:c r="M304" s="21" t="str">
        <x:v>Georgiy Daneliya准确完整地回答导演问题；感叹号属于片名，表达仍自然。</x:v>
      </x:c>
      <x:c r="N304" s="2" t="str">
        <x:v>gpt-6.1-sol</x:v>
      </x:c>
      <x:c r="O304" s="2" t="str">
        <x:v>ultra</x:v>
      </x:c>
      <x:c r="P304" s="16"/>
      <x:c r="Q304" s="16"/>
      <x:c r="R304" s="16"/>
      <x:c r="S304" s="16"/>
      <x:c r="T304" s="16"/>
    </x:row>
    <x:row r="305" ht="40" customHeight="1">
      <x:c r="A305" s="16" t="n">
        <x:v>50</x:v>
      </x:c>
      <x:c r="B305" s="2" t="str">
        <x:v>Q1415194_P57_1</x:v>
      </x:c>
      <x:c r="C305" s="21" t="str">
        <x:v>Who was the director of Kin-dza-dza!?</x:v>
      </x:c>
      <x:c r="D305" s="21" t="str">
        <x:v>Kin-dza-dza! was directed by Georgiy Daneliya. || The director or directors of Kin-dza-dza! are Georgiy Daneliya.</x:v>
      </x:c>
      <x:c r="E305" s="16" t="n">
        <x:v>2</x:v>
      </x:c>
      <x:c r="F305" s="21" t="str">
        <x:v>Kin-dza-dza! was directed by Georgiy Daneliya.</x:v>
      </x:c>
      <x:c r="G305" s="2" t="str">
        <x:v>A0</x:v>
      </x:c>
      <x:c r="H305" s="2" t="str">
        <x:v>自动评审02</x:v>
      </x:c>
      <x:c r="I305" s="16" t="n">
        <x:v>2</x:v>
      </x:c>
      <x:c r="J305" s="16" t="n">
        <x:v>2</x:v>
      </x:c>
      <x:c r="K305" s="16" t="n">
        <x:v>5</x:v>
      </x:c>
      <x:c r="L305" s="16" t="n">
        <x:v>0</x:v>
      </x:c>
      <x:c r="M305" s="21" t="str">
        <x:v>Kin-dza-dza!的执导者与参考Georgiy Daneliya一致，句子清晰完整。</x:v>
      </x:c>
      <x:c r="N305" s="2" t="str">
        <x:v>gpt-6.1-sol</x:v>
      </x:c>
      <x:c r="O305" s="2" t="str">
        <x:v>ultra</x:v>
      </x:c>
      <x:c r="P305" s="16"/>
      <x:c r="Q305" s="16"/>
      <x:c r="R305" s="16"/>
      <x:c r="S305" s="16"/>
      <x:c r="T305" s="16"/>
    </x:row>
    <x:row r="306" ht="54" customHeight="1">
      <x:c r="A306" s="16" t="n">
        <x:v>51</x:v>
      </x:c>
      <x:c r="B306" s="2" t="str">
        <x:v>Q166262_P495_1</x:v>
      </x:c>
      <x:c r="C306" s="21" t="str">
        <x:v>What is the country of origin of Batman Begins?</x:v>
      </x:c>
      <x:c r="D306" s="21" t="str">
        <x:v>Batman Begins originated in United States and United Kingdom. || The countries of origin of Batman Begins are United States and United Kingdom.</x:v>
      </x:c>
      <x:c r="E306" s="16" t="n">
        <x:v>1</x:v>
      </x:c>
      <x:c r="F306" s="21" t="str">
        <x:v>Batman Begins originated in United States and United Kingdom.</x:v>
      </x:c>
      <x:c r="G306" s="2" t="str">
        <x:v>B0</x:v>
      </x:c>
      <x:c r="H306" s="2" t="str">
        <x:v>自动评审02</x:v>
      </x:c>
      <x:c r="I306" s="16" t="n">
        <x:v>2</x:v>
      </x:c>
      <x:c r="J306" s="16" t="n">
        <x:v>2</x:v>
      </x:c>
      <x:c r="K306" s="16" t="n">
        <x:v>4</x:v>
      </x:c>
      <x:c r="L306" s="16" t="n">
        <x:v>0</x:v>
      </x:c>
      <x:c r="M306" s="21" t="str">
        <x:v>美国和英国两国均正确列出；United States与United Kingdom前均漏the。</x:v>
      </x:c>
      <x:c r="N306" s="2" t="str">
        <x:v>gpt-6.1-sol</x:v>
      </x:c>
      <x:c r="O306" s="2" t="str">
        <x:v>ultra</x:v>
      </x:c>
      <x:c r="P306" s="16"/>
      <x:c r="Q306" s="16"/>
      <x:c r="R306" s="16"/>
      <x:c r="S306" s="16"/>
      <x:c r="T306" s="16"/>
    </x:row>
    <x:row r="307" ht="54" customHeight="1">
      <x:c r="A307" s="16" t="n">
        <x:v>51</x:v>
      </x:c>
      <x:c r="B307" s="2" t="str">
        <x:v>Q166262_P495_1</x:v>
      </x:c>
      <x:c r="C307" s="21" t="str">
        <x:v>What is the country of origin of Batman Begins?</x:v>
      </x:c>
      <x:c r="D307" s="21" t="str">
        <x:v>Batman Begins originated in United States and United Kingdom. || The countries of origin of Batman Begins are United States and United Kingdom.</x:v>
      </x:c>
      <x:c r="E307" s="16" t="n">
        <x:v>2</x:v>
      </x:c>
      <x:c r="F307" s="21" t="str">
        <x:v>Batman Begins originated in United States and United Kingdom.</x:v>
      </x:c>
      <x:c r="G307" s="2" t="str">
        <x:v>A0</x:v>
      </x:c>
      <x:c r="H307" s="2" t="str">
        <x:v>自动评审02</x:v>
      </x:c>
      <x:c r="I307" s="16" t="n">
        <x:v>2</x:v>
      </x:c>
      <x:c r="J307" s="16" t="n">
        <x:v>2</x:v>
      </x:c>
      <x:c r="K307" s="16" t="n">
        <x:v>4</x:v>
      </x:c>
      <x:c r="L307" s="16" t="n">
        <x:v>0</x:v>
      </x:c>
      <x:c r="M307" s="21" t="str">
        <x:v>Batman Begins的两个参考产地全覆盖，无额外国家；国家名的定冠词有所缺失。</x:v>
      </x:c>
      <x:c r="N307" s="2" t="str">
        <x:v>gpt-6.1-sol</x:v>
      </x:c>
      <x:c r="O307" s="2" t="str">
        <x:v>ultra</x:v>
      </x:c>
      <x:c r="P307" s="16"/>
      <x:c r="Q307" s="16"/>
      <x:c r="R307" s="16"/>
      <x:c r="S307" s="16"/>
      <x:c r="T307" s="16"/>
    </x:row>
    <x:row r="308" ht="40" customHeight="1">
      <x:c r="A308" s="16" t="n">
        <x:v>52</x:v>
      </x:c>
      <x:c r="B308" s="2" t="str">
        <x:v>Q274167_P364_1</x:v>
      </x:c>
      <x:c r="C308" s="21" t="str">
        <x:v>Which languages was The Exorcist originally made in?</x:v>
      </x:c>
      <x:c r="D308" s="21" t="str">
        <x:v>The original languages of The Exorcist are English. || The Exorcist was originally made in English.</x:v>
      </x:c>
      <x:c r="E308" s="16" t="n">
        <x:v>1</x:v>
      </x:c>
      <x:c r="F308" s="21" t="str">
        <x:v>The original languages of The Exorcist are English.</x:v>
      </x:c>
      <x:c r="G308" s="2" t="str">
        <x:v>B0</x:v>
      </x:c>
      <x:c r="H308" s="2" t="str">
        <x:v>自动评审02</x:v>
      </x:c>
      <x:c r="I308" s="16" t="n">
        <x:v>2</x:v>
      </x:c>
      <x:c r="J308" s="16" t="n">
        <x:v>2</x:v>
      </x:c>
      <x:c r="K308" s="16" t="n">
        <x:v>4</x:v>
      </x:c>
      <x:c r="L308" s="16" t="n">
        <x:v>0</x:v>
      </x:c>
      <x:c r="M308" s="21" t="str">
        <x:v>The Exorcist的English语言信息正确完整；单一语言使用languages…are略不自然。</x:v>
      </x:c>
      <x:c r="N308" s="2" t="str">
        <x:v>gpt-6.1-sol</x:v>
      </x:c>
      <x:c r="O308" s="2" t="str">
        <x:v>ultra</x:v>
      </x:c>
      <x:c r="P308" s="16"/>
      <x:c r="Q308" s="16"/>
      <x:c r="R308" s="16"/>
      <x:c r="S308" s="16"/>
      <x:c r="T308" s="16"/>
    </x:row>
    <x:row r="309" ht="40" customHeight="1">
      <x:c r="A309" s="16" t="n">
        <x:v>52</x:v>
      </x:c>
      <x:c r="B309" s="2" t="str">
        <x:v>Q274167_P364_1</x:v>
      </x:c>
      <x:c r="C309" s="21" t="str">
        <x:v>Which languages was The Exorcist originally made in?</x:v>
      </x:c>
      <x:c r="D309" s="21" t="str">
        <x:v>The original languages of The Exorcist are English. || The Exorcist was originally made in English.</x:v>
      </x:c>
      <x:c r="E309" s="16" t="n">
        <x:v>2</x:v>
      </x:c>
      <x:c r="F309" s="21" t="str">
        <x:v>The original languages of The Exorcist are English.</x:v>
      </x:c>
      <x:c r="G309" s="2" t="str">
        <x:v>A0</x:v>
      </x:c>
      <x:c r="H309" s="2" t="str">
        <x:v>自动评审02</x:v>
      </x:c>
      <x:c r="I309" s="16" t="n">
        <x:v>2</x:v>
      </x:c>
      <x:c r="J309" s="16" t="n">
        <x:v>2</x:v>
      </x:c>
      <x:c r="K309" s="16" t="n">
        <x:v>4</x:v>
      </x:c>
      <x:c r="L309" s="16" t="n">
        <x:v>0</x:v>
      </x:c>
      <x:c r="M309" s="21" t="str">
        <x:v>参考唯一语言英语已给出，未添加语言；复数框架与一项语言稍不协调。</x:v>
      </x:c>
      <x:c r="N309" s="2" t="str">
        <x:v>gpt-6.1-sol</x:v>
      </x:c>
      <x:c r="O309" s="2" t="str">
        <x:v>ultra</x:v>
      </x:c>
      <x:c r="P309" s="16"/>
      <x:c r="Q309" s="16"/>
      <x:c r="R309" s="16"/>
      <x:c r="S309" s="16"/>
      <x:c r="T309" s="16"/>
    </x:row>
    <x:row r="310" ht="40" customHeight="1">
      <x:c r="A310" s="16" t="n">
        <x:v>53</x:v>
      </x:c>
      <x:c r="B310" s="2" t="str">
        <x:v>Q1320985_P136_2</x:v>
      </x:c>
      <x:c r="C310" s="21" t="str">
        <x:v>Name the genre or genres of Mars Needs Moms.</x:v>
      </x:c>
      <x:c r="D310" s="21" t="str">
        <x:v>Mars Needs Moms belongs to the following genres: science fiction film. || The genres of Mars Needs Moms are science fiction film.</x:v>
      </x:c>
      <x:c r="E310" s="16" t="n">
        <x:v>1</x:v>
      </x:c>
      <x:c r="F310" s="21" t="str">
        <x:v>Mars Needs Moms belongs to the following genres: science fiction film.</x:v>
      </x:c>
      <x:c r="G310" s="2" t="str">
        <x:v>A0</x:v>
      </x:c>
      <x:c r="H310" s="2" t="str">
        <x:v>自动评审02</x:v>
      </x:c>
      <x:c r="I310" s="16" t="n">
        <x:v>2</x:v>
      </x:c>
      <x:c r="J310" s="16" t="n">
        <x:v>2</x:v>
      </x:c>
      <x:c r="K310" s="16" t="n">
        <x:v>4</x:v>
      </x:c>
      <x:c r="L310" s="16" t="n">
        <x:v>0</x:v>
      </x:c>
      <x:c r="M310" s="21" t="str">
        <x:v>科幻片是参考唯一类型，已完整给出；单一类型使用following genres略显生硬。</x:v>
      </x:c>
      <x:c r="N310" s="2" t="str">
        <x:v>gpt-6.1-sol</x:v>
      </x:c>
      <x:c r="O310" s="2" t="str">
        <x:v>ultra</x:v>
      </x:c>
      <x:c r="P310" s="16"/>
      <x:c r="Q310" s="16"/>
      <x:c r="R310" s="16"/>
      <x:c r="S310" s="16"/>
      <x:c r="T310" s="16"/>
    </x:row>
    <x:row r="311" ht="40" customHeight="1">
      <x:c r="A311" s="16" t="n">
        <x:v>53</x:v>
      </x:c>
      <x:c r="B311" s="2" t="str">
        <x:v>Q1320985_P136_2</x:v>
      </x:c>
      <x:c r="C311" s="21" t="str">
        <x:v>Name the genre or genres of Mars Needs Moms.</x:v>
      </x:c>
      <x:c r="D311" s="21" t="str">
        <x:v>Mars Needs Moms belongs to the following genres: science fiction film. || The genres of Mars Needs Moms are science fiction film.</x:v>
      </x:c>
      <x:c r="E311" s="16" t="n">
        <x:v>2</x:v>
      </x:c>
      <x:c r="F311" s="21" t="str">
        <x:v>Mars Needs Moms belongs to the following genres: science fiction film.</x:v>
      </x:c>
      <x:c r="G311" s="2" t="str">
        <x:v>B0</x:v>
      </x:c>
      <x:c r="H311" s="2" t="str">
        <x:v>自动评审02</x:v>
      </x:c>
      <x:c r="I311" s="16" t="n">
        <x:v>2</x:v>
      </x:c>
      <x:c r="J311" s="16" t="n">
        <x:v>2</x:v>
      </x:c>
      <x:c r="K311" s="16" t="n">
        <x:v>4</x:v>
      </x:c>
      <x:c r="L311" s="16" t="n">
        <x:v>0</x:v>
      </x:c>
      <x:c r="M311" s="21" t="str">
        <x:v>Mars Needs Moms的science fiction film类型准确，未添其他类别；复数genres用于单项稍不自然。</x:v>
      </x:c>
      <x:c r="N311" s="2" t="str">
        <x:v>gpt-6.1-sol</x:v>
      </x:c>
      <x:c r="O311" s="2" t="str">
        <x:v>ultra</x:v>
      </x:c>
      <x:c r="P311" s="16"/>
      <x:c r="Q311" s="16"/>
      <x:c r="R311" s="16"/>
      <x:c r="S311" s="16"/>
      <x:c r="T311" s="16"/>
    </x:row>
    <x:row r="312" ht="40" customHeight="1">
      <x:c r="A312" s="16" t="n">
        <x:v>54</x:v>
      </x:c>
      <x:c r="B312" s="2" t="str">
        <x:v>Q146605_P57_1</x:v>
      </x:c>
      <x:c r="C312" s="21" t="str">
        <x:v>Who was the director of Zandalee?</x:v>
      </x:c>
      <x:c r="D312" s="21" t="str">
        <x:v>Zandalee was directed by Sam Pillsbury. || The director or directors of Zandalee are Sam Pillsbury.</x:v>
      </x:c>
      <x:c r="E312" s="16" t="n">
        <x:v>1</x:v>
      </x:c>
      <x:c r="F312" s="21" t="str">
        <x:v>Zandalee was directed by Sam Pillsbury.</x:v>
      </x:c>
      <x:c r="G312" s="2" t="str">
        <x:v>B0</x:v>
      </x:c>
      <x:c r="H312" s="2" t="str">
        <x:v>自动评审02</x:v>
      </x:c>
      <x:c r="I312" s="16" t="n">
        <x:v>2</x:v>
      </x:c>
      <x:c r="J312" s="16" t="n">
        <x:v>2</x:v>
      </x:c>
      <x:c r="K312" s="16" t="n">
        <x:v>5</x:v>
      </x:c>
      <x:c r="L312" s="16" t="n">
        <x:v>0</x:v>
      </x:c>
      <x:c r="M312" s="21" t="str">
        <x:v>Sam Pillsbury与参考导演一致，Zandalee执导关系完整，语句自然。</x:v>
      </x:c>
      <x:c r="N312" s="2" t="str">
        <x:v>gpt-6.1-sol</x:v>
      </x:c>
      <x:c r="O312" s="2" t="str">
        <x:v>ultra</x:v>
      </x:c>
      <x:c r="P312" s="16"/>
      <x:c r="Q312" s="16"/>
      <x:c r="R312" s="16"/>
      <x:c r="S312" s="16"/>
      <x:c r="T312" s="16"/>
    </x:row>
    <x:row r="313" ht="40" customHeight="1">
      <x:c r="A313" s="16" t="n">
        <x:v>54</x:v>
      </x:c>
      <x:c r="B313" s="2" t="str">
        <x:v>Q146605_P57_1</x:v>
      </x:c>
      <x:c r="C313" s="21" t="str">
        <x:v>Who was the director of Zandalee?</x:v>
      </x:c>
      <x:c r="D313" s="21" t="str">
        <x:v>Zandalee was directed by Sam Pillsbury. || The director or directors of Zandalee are Sam Pillsbury.</x:v>
      </x:c>
      <x:c r="E313" s="16" t="n">
        <x:v>2</x:v>
      </x:c>
      <x:c r="F313" s="21" t="str">
        <x:v>Zandalee was directed by Sam Pillsbury.</x:v>
      </x:c>
      <x:c r="G313" s="2" t="str">
        <x:v>A0</x:v>
      </x:c>
      <x:c r="H313" s="2" t="str">
        <x:v>自动评审02</x:v>
      </x:c>
      <x:c r="I313" s="16" t="n">
        <x:v>2</x:v>
      </x:c>
      <x:c r="J313" s="16" t="n">
        <x:v>2</x:v>
      </x:c>
      <x:c r="K313" s="16" t="n">
        <x:v>5</x:v>
      </x:c>
      <x:c r="L313" s="16" t="n">
        <x:v>0</x:v>
      </x:c>
      <x:c r="M313" s="21" t="str">
        <x:v>唯一导演Sam Pillsbury准确列明，回答直截了当且完整流畅。</x:v>
      </x:c>
      <x:c r="N313" s="2" t="str">
        <x:v>gpt-6.1-sol</x:v>
      </x:c>
      <x:c r="O313" s="2" t="str">
        <x:v>ultra</x:v>
      </x:c>
      <x:c r="P313" s="16"/>
      <x:c r="Q313" s="16"/>
      <x:c r="R313" s="16"/>
      <x:c r="S313" s="16"/>
      <x:c r="T313" s="16"/>
    </x:row>
    <x:row r="314" ht="40" customHeight="1">
      <x:c r="A314" s="16" t="n">
        <x:v>55</x:v>
      </x:c>
      <x:c r="B314" s="2" t="str">
        <x:v>Q207816_P495_1</x:v>
      </x:c>
      <x:c r="C314" s="21" t="str">
        <x:v>What is the country of origin of Bruce Almighty?</x:v>
      </x:c>
      <x:c r="D314" s="21" t="str">
        <x:v>Bruce Almighty originated in United States. || The countries of origin of Bruce Almighty are United States.</x:v>
      </x:c>
      <x:c r="E314" s="16" t="n">
        <x:v>1</x:v>
      </x:c>
      <x:c r="F314" s="21" t="str">
        <x:v>Bruce Almighty originated in United States.</x:v>
      </x:c>
      <x:c r="G314" s="2" t="str">
        <x:v>B0</x:v>
      </x:c>
      <x:c r="H314" s="2" t="str">
        <x:v>自动评审02</x:v>
      </x:c>
      <x:c r="I314" s="16" t="n">
        <x:v>2</x:v>
      </x:c>
      <x:c r="J314" s="16" t="n">
        <x:v>2</x:v>
      </x:c>
      <x:c r="K314" s="16" t="n">
        <x:v>4</x:v>
      </x:c>
      <x:c r="L314" s="16" t="n">
        <x:v>0</x:v>
      </x:c>
      <x:c r="M314" s="21" t="str">
        <x:v>Bruce Almighty的美国来源正确完整；United States前需要the。</x:v>
      </x:c>
      <x:c r="N314" s="2" t="str">
        <x:v>gpt-6.1-sol</x:v>
      </x:c>
      <x:c r="O314" s="2" t="str">
        <x:v>ultra</x:v>
      </x:c>
      <x:c r="P314" s="16"/>
      <x:c r="Q314" s="16"/>
      <x:c r="R314" s="16"/>
      <x:c r="S314" s="16"/>
      <x:c r="T314" s="16"/>
    </x:row>
    <x:row r="315" ht="40" customHeight="1">
      <x:c r="A315" s="16" t="n">
        <x:v>55</x:v>
      </x:c>
      <x:c r="B315" s="2" t="str">
        <x:v>Q207816_P495_1</x:v>
      </x:c>
      <x:c r="C315" s="21" t="str">
        <x:v>What is the country of origin of Bruce Almighty?</x:v>
      </x:c>
      <x:c r="D315" s="21" t="str">
        <x:v>Bruce Almighty originated in United States. || The countries of origin of Bruce Almighty are United States.</x:v>
      </x:c>
      <x:c r="E315" s="16" t="n">
        <x:v>2</x:v>
      </x:c>
      <x:c r="F315" s="21" t="str">
        <x:v>Bruce Almighty originated in United States.</x:v>
      </x:c>
      <x:c r="G315" s="2" t="str">
        <x:v>A0</x:v>
      </x:c>
      <x:c r="H315" s="2" t="str">
        <x:v>自动评审02</x:v>
      </x:c>
      <x:c r="I315" s="16" t="n">
        <x:v>2</x:v>
      </x:c>
      <x:c r="J315" s="16" t="n">
        <x:v>2</x:v>
      </x:c>
      <x:c r="K315" s="16" t="n">
        <x:v>4</x:v>
      </x:c>
      <x:c r="L315" s="16" t="n">
        <x:v>0</x:v>
      </x:c>
      <x:c r="M315" s="21" t="str">
        <x:v>回答了参考唯一产地美国，无新增事实；缺少国家名的定冠词。</x:v>
      </x:c>
      <x:c r="N315" s="2" t="str">
        <x:v>gpt-6.1-sol</x:v>
      </x:c>
      <x:c r="O315" s="2" t="str">
        <x:v>ultra</x:v>
      </x:c>
      <x:c r="P315" s="16"/>
      <x:c r="Q315" s="16"/>
      <x:c r="R315" s="16"/>
      <x:c r="S315" s="16"/>
      <x:c r="T315" s="16"/>
    </x:row>
    <x:row r="316" ht="54" customHeight="1">
      <x:c r="A316" s="16" t="n">
        <x:v>56</x:v>
      </x:c>
      <x:c r="B316" s="2" t="str">
        <x:v>Q21010856_P136_2</x:v>
      </x:c>
      <x:c r="C316" s="21" t="str">
        <x:v>Name the genre or genres of Hacksaw Ridge.</x:v>
      </x:c>
      <x:c r="D316" s="21" t="str">
        <x:v>Hacksaw Ridge belongs to the following genres: drama film, war film and biographical film. || The genres of Hacksaw Ridge are drama film, war film and biographical film.</x:v>
      </x:c>
      <x:c r="E316" s="16" t="n">
        <x:v>1</x:v>
      </x:c>
      <x:c r="F316" s="21" t="str">
        <x:v>Hacksaw Ridge belongs to the following genres: drama film, war film and biographical film.</x:v>
      </x:c>
      <x:c r="G316" s="2" t="str">
        <x:v>B0</x:v>
      </x:c>
      <x:c r="H316" s="2" t="str">
        <x:v>自动评审02</x:v>
      </x:c>
      <x:c r="I316" s="16" t="n">
        <x:v>2</x:v>
      </x:c>
      <x:c r="J316" s="16" t="n">
        <x:v>2</x:v>
      </x:c>
      <x:c r="K316" s="16" t="n">
        <x:v>5</x:v>
      </x:c>
      <x:c r="L316" s="16" t="n">
        <x:v>0</x:v>
      </x:c>
      <x:c r="M316" s="21" t="str">
        <x:v>剧情片、战争片和传记片三类与参考全部一致，完整列举，语法通顺。</x:v>
      </x:c>
      <x:c r="N316" s="2" t="str">
        <x:v>gpt-6.1-sol</x:v>
      </x:c>
      <x:c r="O316" s="2" t="str">
        <x:v>ultra</x:v>
      </x:c>
      <x:c r="P316" s="16"/>
      <x:c r="Q316" s="16"/>
      <x:c r="R316" s="16"/>
      <x:c r="S316" s="16"/>
      <x:c r="T316" s="16"/>
    </x:row>
    <x:row r="317" ht="54" customHeight="1">
      <x:c r="A317" s="16" t="n">
        <x:v>56</x:v>
      </x:c>
      <x:c r="B317" s="2" t="str">
        <x:v>Q21010856_P136_2</x:v>
      </x:c>
      <x:c r="C317" s="21" t="str">
        <x:v>Name the genre or genres of Hacksaw Ridge.</x:v>
      </x:c>
      <x:c r="D317" s="21" t="str">
        <x:v>Hacksaw Ridge belongs to the following genres: drama film, war film and biographical film. || The genres of Hacksaw Ridge are drama film, war film and biographical film.</x:v>
      </x:c>
      <x:c r="E317" s="16" t="n">
        <x:v>2</x:v>
      </x:c>
      <x:c r="F317" s="21" t="str">
        <x:v>Hacksaw Ridge belongs to the following genres: drama film, war film and biographical film.</x:v>
      </x:c>
      <x:c r="G317" s="2" t="str">
        <x:v>A0</x:v>
      </x:c>
      <x:c r="H317" s="2" t="str">
        <x:v>自动评审02</x:v>
      </x:c>
      <x:c r="I317" s="16" t="n">
        <x:v>2</x:v>
      </x:c>
      <x:c r="J317" s="16" t="n">
        <x:v>2</x:v>
      </x:c>
      <x:c r="K317" s="16" t="n">
        <x:v>5</x:v>
      </x:c>
      <x:c r="L317" s="16" t="n">
        <x:v>0</x:v>
      </x:c>
      <x:c r="M317" s="21" t="str">
        <x:v>Hacksaw Ridge的三个参考类型均被覆盖，没有额外类型，表达清楚。</x:v>
      </x:c>
      <x:c r="N317" s="2" t="str">
        <x:v>gpt-6.1-sol</x:v>
      </x:c>
      <x:c r="O317" s="2" t="str">
        <x:v>ultra</x:v>
      </x:c>
      <x:c r="P317" s="16"/>
      <x:c r="Q317" s="16"/>
      <x:c r="R317" s="16"/>
      <x:c r="S317" s="16"/>
      <x:c r="T317" s="16"/>
    </x:row>
    <x:row r="318" ht="54" customHeight="1">
      <x:c r="A318" s="16" t="n">
        <x:v>57</x:v>
      </x:c>
      <x:c r="B318" s="2" t="str">
        <x:v>Q303477_P136_1</x:v>
      </x:c>
      <x:c r="C318" s="21" t="str">
        <x:v>Which genres does The Big Country belong to?</x:v>
      </x:c>
      <x:c r="D318" s="21" t="str">
        <x:v>The Big Country belongs to the following genres: drama film and Western film. || The genres of The Big Country are drama film and Western film.</x:v>
      </x:c>
      <x:c r="E318" s="16" t="n">
        <x:v>1</x:v>
      </x:c>
      <x:c r="F318" s="21" t="str">
        <x:v>The Big Country belongs to the following genres: drama film and Western film.</x:v>
      </x:c>
      <x:c r="G318" s="2" t="str">
        <x:v>B0</x:v>
      </x:c>
      <x:c r="H318" s="2" t="str">
        <x:v>自动评审02</x:v>
      </x:c>
      <x:c r="I318" s="16" t="n">
        <x:v>2</x:v>
      </x:c>
      <x:c r="J318" s="16" t="n">
        <x:v>2</x:v>
      </x:c>
      <x:c r="K318" s="16" t="n">
        <x:v>5</x:v>
      </x:c>
      <x:c r="L318" s="16" t="n">
        <x:v>0</x:v>
      </x:c>
      <x:c r="M318" s="21" t="str">
        <x:v>剧情片与西部片两类均正确完整，Western film的写法不妨碍自然表达。</x:v>
      </x:c>
      <x:c r="N318" s="2" t="str">
        <x:v>gpt-6.1-sol</x:v>
      </x:c>
      <x:c r="O318" s="2" t="str">
        <x:v>ultra</x:v>
      </x:c>
      <x:c r="P318" s="16"/>
      <x:c r="Q318" s="16"/>
      <x:c r="R318" s="16"/>
      <x:c r="S318" s="16"/>
      <x:c r="T318" s="16"/>
    </x:row>
    <x:row r="319" ht="54" customHeight="1">
      <x:c r="A319" s="16" t="n">
        <x:v>57</x:v>
      </x:c>
      <x:c r="B319" s="2" t="str">
        <x:v>Q303477_P136_1</x:v>
      </x:c>
      <x:c r="C319" s="21" t="str">
        <x:v>Which genres does The Big Country belong to?</x:v>
      </x:c>
      <x:c r="D319" s="21" t="str">
        <x:v>The Big Country belongs to the following genres: drama film and Western film. || The genres of The Big Country are drama film and Western film.</x:v>
      </x:c>
      <x:c r="E319" s="16" t="n">
        <x:v>2</x:v>
      </x:c>
      <x:c r="F319" s="21" t="str">
        <x:v>The Big Country belongs to the following genres: drama film and Western film.</x:v>
      </x:c>
      <x:c r="G319" s="2" t="str">
        <x:v>A0</x:v>
      </x:c>
      <x:c r="H319" s="2" t="str">
        <x:v>自动评审02</x:v>
      </x:c>
      <x:c r="I319" s="16" t="n">
        <x:v>2</x:v>
      </x:c>
      <x:c r="J319" s="16" t="n">
        <x:v>2</x:v>
      </x:c>
      <x:c r="K319" s="16" t="n">
        <x:v>5</x:v>
      </x:c>
      <x:c r="L319" s="16" t="n">
        <x:v>0</x:v>
      </x:c>
      <x:c r="M319" s="21" t="str">
        <x:v>The Big Country的drama film和Western film与参考一致，句意顺畅。</x:v>
      </x:c>
      <x:c r="N319" s="2" t="str">
        <x:v>gpt-6.1-sol</x:v>
      </x:c>
      <x:c r="O319" s="2" t="str">
        <x:v>ultra</x:v>
      </x:c>
      <x:c r="P319" s="16"/>
      <x:c r="Q319" s="16"/>
      <x:c r="R319" s="16"/>
      <x:c r="S319" s="16"/>
      <x:c r="T319" s="16"/>
    </x:row>
    <x:row r="320" ht="40" customHeight="1">
      <x:c r="A320" s="16" t="n">
        <x:v>58</x:v>
      </x:c>
      <x:c r="B320" s="2" t="str">
        <x:v>Q165642_P57_1</x:v>
      </x:c>
      <x:c r="C320" s="21" t="str">
        <x:v>Who was the director of The Eternal Jew?</x:v>
      </x:c>
      <x:c r="D320" s="21" t="str">
        <x:v>The Eternal Jew was directed by Fritz Hippler. || The director or directors of The Eternal Jew are Fritz Hippler.</x:v>
      </x:c>
      <x:c r="E320" s="16" t="n">
        <x:v>1</x:v>
      </x:c>
      <x:c r="F320" s="21" t="str">
        <x:v>The Eternal Jew was directed by Fritz Hippler.</x:v>
      </x:c>
      <x:c r="G320" s="2" t="str">
        <x:v>B0</x:v>
      </x:c>
      <x:c r="H320" s="2" t="str">
        <x:v>自动评审02</x:v>
      </x:c>
      <x:c r="I320" s="16" t="n">
        <x:v>2</x:v>
      </x:c>
      <x:c r="J320" s="16" t="n">
        <x:v>2</x:v>
      </x:c>
      <x:c r="K320" s="16" t="n">
        <x:v>5</x:v>
      </x:c>
      <x:c r="L320" s="16" t="n">
        <x:v>0</x:v>
      </x:c>
      <x:c r="M320" s="21" t="str">
        <x:v>Fritz Hippler准确回答The Eternal Jew的导演，信息完整，无额外断言。</x:v>
      </x:c>
      <x:c r="N320" s="2" t="str">
        <x:v>gpt-6.1-sol</x:v>
      </x:c>
      <x:c r="O320" s="2" t="str">
        <x:v>ultra</x:v>
      </x:c>
      <x:c r="P320" s="16"/>
      <x:c r="Q320" s="16"/>
      <x:c r="R320" s="16"/>
      <x:c r="S320" s="16"/>
      <x:c r="T320" s="16"/>
    </x:row>
    <x:row r="321" ht="40" customHeight="1">
      <x:c r="A321" s="16" t="n">
        <x:v>58</x:v>
      </x:c>
      <x:c r="B321" s="2" t="str">
        <x:v>Q165642_P57_1</x:v>
      </x:c>
      <x:c r="C321" s="21" t="str">
        <x:v>Who was the director of The Eternal Jew?</x:v>
      </x:c>
      <x:c r="D321" s="21" t="str">
        <x:v>The Eternal Jew was directed by Fritz Hippler. || The director or directors of The Eternal Jew are Fritz Hippler.</x:v>
      </x:c>
      <x:c r="E321" s="16" t="n">
        <x:v>2</x:v>
      </x:c>
      <x:c r="F321" s="21" t="str">
        <x:v>The Eternal Jew was directed by Fritz Hippler.</x:v>
      </x:c>
      <x:c r="G321" s="2" t="str">
        <x:v>A0</x:v>
      </x:c>
      <x:c r="H321" s="2" t="str">
        <x:v>自动评审02</x:v>
      </x:c>
      <x:c r="I321" s="16" t="n">
        <x:v>2</x:v>
      </x:c>
      <x:c r="J321" s="16" t="n">
        <x:v>2</x:v>
      </x:c>
      <x:c r="K321" s="16" t="n">
        <x:v>5</x:v>
      </x:c>
      <x:c r="L321" s="16" t="n">
        <x:v>0</x:v>
      </x:c>
      <x:c r="M321" s="21" t="str">
        <x:v>参考唯一导演Fritz Hippler已明确给出，句子完整，语法自然。</x:v>
      </x:c>
      <x:c r="N321" s="2" t="str">
        <x:v>gpt-6.1-sol</x:v>
      </x:c>
      <x:c r="O321" s="2" t="str">
        <x:v>ultra</x:v>
      </x:c>
      <x:c r="P321" s="16"/>
      <x:c r="Q321" s="16"/>
      <x:c r="R321" s="16"/>
      <x:c r="S321" s="16"/>
      <x:c r="T321" s="16"/>
    </x:row>
    <x:row r="322" ht="54" customHeight="1">
      <x:c r="A322" s="16" t="n">
        <x:v>59</x:v>
      </x:c>
      <x:c r="B322" s="2" t="str">
        <x:v>Q145688_P136_0</x:v>
      </x:c>
      <x:c r="C322" s="21" t="str">
        <x:v>What genre is Vi hade i alla fall tur med vädret – igen?</x:v>
      </x:c>
      <x:c r="D322" s="21" t="str">
        <x:v>Vi hade i alla fall tur med vädret – igen belongs to the following genres: comedy film. || The genres of Vi hade i alla fall tur med vädret – igen are comedy film.</x:v>
      </x:c>
      <x:c r="E322" s="16" t="n">
        <x:v>1</x:v>
      </x:c>
      <x:c r="F322" s="21" t="str">
        <x:v>Vi hade i alla fall tur med vädret – igen belongs to the following genres: comedy film.</x:v>
      </x:c>
      <x:c r="G322" s="2" t="str">
        <x:v>A0</x:v>
      </x:c>
      <x:c r="H322" s="2" t="str">
        <x:v>自动评审02</x:v>
      </x:c>
      <x:c r="I322" s="16" t="n">
        <x:v>2</x:v>
      </x:c>
      <x:c r="J322" s="16" t="n">
        <x:v>2</x:v>
      </x:c>
      <x:c r="K322" s="16" t="n">
        <x:v>4</x:v>
      </x:c>
      <x:c r="L322" s="16" t="n">
        <x:v>0</x:v>
      </x:c>
      <x:c r="M322" s="21" t="str">
        <x:v>喜剧片这一参考类型正确完整；单项类型配复数genres稍不自然，片名重音及破折号不扣分。</x:v>
      </x:c>
      <x:c r="N322" s="2" t="str">
        <x:v>gpt-6.1-sol</x:v>
      </x:c>
      <x:c r="O322" s="2" t="str">
        <x:v>ultra</x:v>
      </x:c>
      <x:c r="P322" s="16"/>
      <x:c r="Q322" s="16"/>
      <x:c r="R322" s="16"/>
      <x:c r="S322" s="16"/>
      <x:c r="T322" s="16"/>
    </x:row>
    <x:row r="323" ht="54" customHeight="1">
      <x:c r="A323" s="16" t="n">
        <x:v>59</x:v>
      </x:c>
      <x:c r="B323" s="2" t="str">
        <x:v>Q145688_P136_0</x:v>
      </x:c>
      <x:c r="C323" s="21" t="str">
        <x:v>What genre is Vi hade i alla fall tur med vädret – igen?</x:v>
      </x:c>
      <x:c r="D323" s="21" t="str">
        <x:v>Vi hade i alla fall tur med vädret – igen belongs to the following genres: comedy film. || The genres of Vi hade i alla fall tur med vädret – igen are comedy film.</x:v>
      </x:c>
      <x:c r="E323" s="16" t="n">
        <x:v>2</x:v>
      </x:c>
      <x:c r="F323" s="21" t="str">
        <x:v>Vi hade i alla fall tur med vädret – igen belongs to the following genres: comedy film.</x:v>
      </x:c>
      <x:c r="G323" s="2" t="str">
        <x:v>B0</x:v>
      </x:c>
      <x:c r="H323" s="2" t="str">
        <x:v>自动评审02</x:v>
      </x:c>
      <x:c r="I323" s="16" t="n">
        <x:v>2</x:v>
      </x:c>
      <x:c r="J323" s="16" t="n">
        <x:v>2</x:v>
      </x:c>
      <x:c r="K323" s="16" t="n">
        <x:v>4</x:v>
      </x:c>
      <x:c r="L323" s="16" t="n">
        <x:v>0</x:v>
      </x:c>
      <x:c r="M323" s="21" t="str">
        <x:v>该片comedy film类型与参考一致；只有一个类型却用following genres，有轻微数的表达问题。</x:v>
      </x:c>
      <x:c r="N323" s="2" t="str">
        <x:v>gpt-6.1-sol</x:v>
      </x:c>
      <x:c r="O323" s="2" t="str">
        <x:v>ultra</x:v>
      </x:c>
      <x:c r="P323" s="16"/>
      <x:c r="Q323" s="16"/>
      <x:c r="R323" s="16"/>
      <x:c r="S323" s="16"/>
      <x:c r="T323" s="16"/>
    </x:row>
    <x:row r="324" ht="40" customHeight="1">
      <x:c r="A324" s="16" t="n">
        <x:v>60</x:v>
      </x:c>
      <x:c r="B324" s="2" t="str">
        <x:v>Q409022_P364_2</x:v>
      </x:c>
      <x:c r="C324" s="21" t="str">
        <x:v>Name the original language or languages of Airport.</x:v>
      </x:c>
      <x:c r="D324" s="21" t="str">
        <x:v>The original languages of Airport are English. || Airport was originally made in English.</x:v>
      </x:c>
      <x:c r="E324" s="16" t="n">
        <x:v>1</x:v>
      </x:c>
      <x:c r="F324" s="21" t="str">
        <x:v>The original languages of Airport are English.</x:v>
      </x:c>
      <x:c r="G324" s="2" t="str">
        <x:v>A0</x:v>
      </x:c>
      <x:c r="H324" s="2" t="str">
        <x:v>自动评审02</x:v>
      </x:c>
      <x:c r="I324" s="16" t="n">
        <x:v>2</x:v>
      </x:c>
      <x:c r="J324" s="16" t="n">
        <x:v>2</x:v>
      </x:c>
      <x:c r="K324" s="16" t="n">
        <x:v>4</x:v>
      </x:c>
      <x:c r="L324" s="16" t="n">
        <x:v>0</x:v>
      </x:c>
      <x:c r="M324" s="21" t="str">
        <x:v>Airport的原始语言英语准确完整；单一语言用复数languages…are略生硬。</x:v>
      </x:c>
      <x:c r="N324" s="2" t="str">
        <x:v>gpt-6.1-sol</x:v>
      </x:c>
      <x:c r="O324" s="2" t="str">
        <x:v>ultra</x:v>
      </x:c>
      <x:c r="P324" s="16"/>
      <x:c r="Q324" s="16"/>
      <x:c r="R324" s="16"/>
      <x:c r="S324" s="16"/>
      <x:c r="T324" s="16"/>
    </x:row>
    <x:row r="325" ht="40" customHeight="1">
      <x:c r="A325" s="16" t="n">
        <x:v>60</x:v>
      </x:c>
      <x:c r="B325" s="2" t="str">
        <x:v>Q409022_P364_2</x:v>
      </x:c>
      <x:c r="C325" s="21" t="str">
        <x:v>Name the original language or languages of Airport.</x:v>
      </x:c>
      <x:c r="D325" s="21" t="str">
        <x:v>The original languages of Airport are English. || Airport was originally made in English.</x:v>
      </x:c>
      <x:c r="E325" s="16" t="n">
        <x:v>2</x:v>
      </x:c>
      <x:c r="F325" s="21" t="str">
        <x:v>The original languages of Airport are English.</x:v>
      </x:c>
      <x:c r="G325" s="2" t="str">
        <x:v>B0</x:v>
      </x:c>
      <x:c r="H325" s="2" t="str">
        <x:v>自动评审02</x:v>
      </x:c>
      <x:c r="I325" s="16" t="n">
        <x:v>2</x:v>
      </x:c>
      <x:c r="J325" s="16" t="n">
        <x:v>2</x:v>
      </x:c>
      <x:c r="K325" s="16" t="n">
        <x:v>4</x:v>
      </x:c>
      <x:c r="L325" s="16" t="n">
        <x:v>0</x:v>
      </x:c>
      <x:c r="M325" s="21" t="str">
        <x:v>English覆盖全部参考语言，无额外事实；复数语言句式用于一项略显不自然。</x:v>
      </x:c>
      <x:c r="N325" s="2" t="str">
        <x:v>gpt-6.1-sol</x:v>
      </x:c>
      <x:c r="O325" s="2" t="str">
        <x:v>ultra</x:v>
      </x:c>
      <x:c r="P325" s="16"/>
      <x:c r="Q325" s="16"/>
      <x:c r="R325" s="16"/>
      <x:c r="S325" s="16"/>
      <x:c r="T325" s="16"/>
    </x:row>
    <x:row r="326" ht="54" customHeight="1">
      <x:c r="A326" s="16" t="n">
        <x:v>61</x:v>
      </x:c>
      <x:c r="B326" s="2" t="str">
        <x:v>Q325643_P136_0</x:v>
      </x:c>
      <x:c r="C326" s="21" t="str">
        <x:v>What genre is Who's Afraid of Virginia Woolf??</x:v>
      </x:c>
      <x:c r="D326" s="21" t="str">
        <x:v>Who's Afraid of Virginia Woolf? belongs to the following genres: drama film. || The genres of Who's Afraid of Virginia Woolf? are drama film.</x:v>
      </x:c>
      <x:c r="E326" s="16" t="n">
        <x:v>1</x:v>
      </x:c>
      <x:c r="F326" s="21" t="str">
        <x:v>Who's Afraid of Virginia Woolf? belongs to the following genres: drama film.</x:v>
      </x:c>
      <x:c r="G326" s="2" t="str">
        <x:v>B0</x:v>
      </x:c>
      <x:c r="H326" s="2" t="str">
        <x:v>自动评审02</x:v>
      </x:c>
      <x:c r="I326" s="16" t="n">
        <x:v>2</x:v>
      </x:c>
      <x:c r="J326" s="16" t="n">
        <x:v>2</x:v>
      </x:c>
      <x:c r="K326" s="16" t="n">
        <x:v>4</x:v>
      </x:c>
      <x:c r="L326" s="16" t="n">
        <x:v>0</x:v>
      </x:c>
      <x:c r="M326" s="21" t="str">
        <x:v>剧情片这一唯一参考类型准确完整；单一类型配复数genres稍不自然，片名问号本身无误。</x:v>
      </x:c>
      <x:c r="N326" s="2" t="str">
        <x:v>gpt-6.1-sol</x:v>
      </x:c>
      <x:c r="O326" s="2" t="str">
        <x:v>ultra</x:v>
      </x:c>
      <x:c r="P326" s="16"/>
      <x:c r="Q326" s="16"/>
      <x:c r="R326" s="16"/>
      <x:c r="S326" s="16"/>
      <x:c r="T326" s="16"/>
    </x:row>
    <x:row r="327" ht="54" customHeight="1">
      <x:c r="A327" s="16" t="n">
        <x:v>61</x:v>
      </x:c>
      <x:c r="B327" s="2" t="str">
        <x:v>Q325643_P136_0</x:v>
      </x:c>
      <x:c r="C327" s="21" t="str">
        <x:v>What genre is Who's Afraid of Virginia Woolf??</x:v>
      </x:c>
      <x:c r="D327" s="21" t="str">
        <x:v>Who's Afraid of Virginia Woolf? belongs to the following genres: drama film. || The genres of Who's Afraid of Virginia Woolf? are drama film.</x:v>
      </x:c>
      <x:c r="E327" s="16" t="n">
        <x:v>2</x:v>
      </x:c>
      <x:c r="F327" s="21" t="str">
        <x:v>Who's Afraid of Virginia Woolf? belongs to the following genres: drama film.</x:v>
      </x:c>
      <x:c r="G327" s="2" t="str">
        <x:v>A0</x:v>
      </x:c>
      <x:c r="H327" s="2" t="str">
        <x:v>自动评审02</x:v>
      </x:c>
      <x:c r="I327" s="16" t="n">
        <x:v>2</x:v>
      </x:c>
      <x:c r="J327" s="16" t="n">
        <x:v>2</x:v>
      </x:c>
      <x:c r="K327" s="16" t="n">
        <x:v>4</x:v>
      </x:c>
      <x:c r="L327" s="16" t="n">
        <x:v>0</x:v>
      </x:c>
      <x:c r="M327" s="21" t="str">
        <x:v>Who's Afraid of Virginia Woolf?的drama film类型已给出；following genres用于一个类型略生硬。</x:v>
      </x:c>
      <x:c r="N327" s="2" t="str">
        <x:v>gpt-6.1-sol</x:v>
      </x:c>
      <x:c r="O327" s="2" t="str">
        <x:v>ultra</x:v>
      </x:c>
      <x:c r="P327" s="16"/>
      <x:c r="Q327" s="16"/>
      <x:c r="R327" s="16"/>
      <x:c r="S327" s="16"/>
      <x:c r="T327" s="16"/>
    </x:row>
    <x:row r="328" ht="40" customHeight="1">
      <x:c r="A328" s="16" t="n">
        <x:v>62</x:v>
      </x:c>
      <x:c r="B328" s="2" t="str">
        <x:v>Q277281_P364_0</x:v>
      </x:c>
      <x:c r="C328" s="21" t="str">
        <x:v>What is the original language of Love on the Run?</x:v>
      </x:c>
      <x:c r="D328" s="21" t="str">
        <x:v>The original languages of Love on the Run are French. || Love on the Run was originally made in French.</x:v>
      </x:c>
      <x:c r="E328" s="16" t="n">
        <x:v>1</x:v>
      </x:c>
      <x:c r="F328" s="21" t="str">
        <x:v>The original languages of Love on the Run are French.</x:v>
      </x:c>
      <x:c r="G328" s="2" t="str">
        <x:v>A0</x:v>
      </x:c>
      <x:c r="H328" s="2" t="str">
        <x:v>自动评审02</x:v>
      </x:c>
      <x:c r="I328" s="16" t="n">
        <x:v>2</x:v>
      </x:c>
      <x:c r="J328" s="16" t="n">
        <x:v>2</x:v>
      </x:c>
      <x:c r="K328" s="16" t="n">
        <x:v>4</x:v>
      </x:c>
      <x:c r="L328" s="16" t="n">
        <x:v>0</x:v>
      </x:c>
      <x:c r="M328" s="21" t="str">
        <x:v>French准确回答Love on the Run的原始语言；单一语言使用复数languages…are稍不自然。</x:v>
      </x:c>
      <x:c r="N328" s="2" t="str">
        <x:v>gpt-6.1-sol</x:v>
      </x:c>
      <x:c r="O328" s="2" t="str">
        <x:v>ultra</x:v>
      </x:c>
      <x:c r="P328" s="16"/>
      <x:c r="Q328" s="16"/>
      <x:c r="R328" s="16"/>
      <x:c r="S328" s="16"/>
      <x:c r="T328" s="16"/>
    </x:row>
    <x:row r="329" ht="40" customHeight="1">
      <x:c r="A329" s="16" t="n">
        <x:v>62</x:v>
      </x:c>
      <x:c r="B329" s="2" t="str">
        <x:v>Q277281_P364_0</x:v>
      </x:c>
      <x:c r="C329" s="21" t="str">
        <x:v>What is the original language of Love on the Run?</x:v>
      </x:c>
      <x:c r="D329" s="21" t="str">
        <x:v>The original languages of Love on the Run are French. || Love on the Run was originally made in French.</x:v>
      </x:c>
      <x:c r="E329" s="16" t="n">
        <x:v>2</x:v>
      </x:c>
      <x:c r="F329" s="21" t="str">
        <x:v>The original languages of Love on the Run are French.</x:v>
      </x:c>
      <x:c r="G329" s="2" t="str">
        <x:v>B0</x:v>
      </x:c>
      <x:c r="H329" s="2" t="str">
        <x:v>自动评审02</x:v>
      </x:c>
      <x:c r="I329" s="16" t="n">
        <x:v>2</x:v>
      </x:c>
      <x:c r="J329" s="16" t="n">
        <x:v>2</x:v>
      </x:c>
      <x:c r="K329" s="16" t="n">
        <x:v>4</x:v>
      </x:c>
      <x:c r="L329" s="16" t="n">
        <x:v>0</x:v>
      </x:c>
      <x:c r="M329" s="21" t="str">
        <x:v>法语这一唯一参考语言完整给出，无额外断言；语言的单复数表达有轻微不协调。</x:v>
      </x:c>
      <x:c r="N329" s="2" t="str">
        <x:v>gpt-6.1-sol</x:v>
      </x:c>
      <x:c r="O329" s="2" t="str">
        <x:v>ultra</x:v>
      </x:c>
      <x:c r="P329" s="16"/>
      <x:c r="Q329" s="16"/>
      <x:c r="R329" s="16"/>
      <x:c r="S329" s="16"/>
      <x:c r="T329" s="16"/>
    </x:row>
    <x:row r="330" ht="40" customHeight="1">
      <x:c r="A330" s="16" t="n">
        <x:v>63</x:v>
      </x:c>
      <x:c r="B330" s="2" t="str">
        <x:v>Q237222_P495_2</x:v>
      </x:c>
      <x:c r="C330" s="21" t="str">
        <x:v>Name the countries of origin of Blood Simple.</x:v>
      </x:c>
      <x:c r="D330" s="21" t="str">
        <x:v>Blood Simple originated in United States. || The countries of origin of Blood Simple are United States.</x:v>
      </x:c>
      <x:c r="E330" s="16" t="n">
        <x:v>1</x:v>
      </x:c>
      <x:c r="F330" s="21" t="str">
        <x:v>Blood Simple originated in United States.</x:v>
      </x:c>
      <x:c r="G330" s="2" t="str">
        <x:v>B0</x:v>
      </x:c>
      <x:c r="H330" s="2" t="str">
        <x:v>自动评审02</x:v>
      </x:c>
      <x:c r="I330" s="16" t="n">
        <x:v>2</x:v>
      </x:c>
      <x:c r="J330" s="16" t="n">
        <x:v>2</x:v>
      </x:c>
      <x:c r="K330" s="16" t="n">
        <x:v>4</x:v>
      </x:c>
      <x:c r="L330" s="16" t="n">
        <x:v>0</x:v>
      </x:c>
      <x:c r="M330" s="21" t="str">
        <x:v>Blood Simple产自美国的信息准确完整；United States前缺the。</x:v>
      </x:c>
      <x:c r="N330" s="2" t="str">
        <x:v>gpt-6.1-sol</x:v>
      </x:c>
      <x:c r="O330" s="2" t="str">
        <x:v>ultra</x:v>
      </x:c>
      <x:c r="P330" s="16"/>
      <x:c r="Q330" s="16"/>
      <x:c r="R330" s="16"/>
      <x:c r="S330" s="16"/>
      <x:c r="T330" s="16"/>
    </x:row>
    <x:row r="331" ht="40" customHeight="1">
      <x:c r="A331" s="16" t="n">
        <x:v>63</x:v>
      </x:c>
      <x:c r="B331" s="2" t="str">
        <x:v>Q237222_P495_2</x:v>
      </x:c>
      <x:c r="C331" s="21" t="str">
        <x:v>Name the countries of origin of Blood Simple.</x:v>
      </x:c>
      <x:c r="D331" s="21" t="str">
        <x:v>Blood Simple originated in United States. || The countries of origin of Blood Simple are United States.</x:v>
      </x:c>
      <x:c r="E331" s="16" t="n">
        <x:v>2</x:v>
      </x:c>
      <x:c r="F331" s="21" t="str">
        <x:v>Blood Simple originated in United States.</x:v>
      </x:c>
      <x:c r="G331" s="2" t="str">
        <x:v>A0</x:v>
      </x:c>
      <x:c r="H331" s="2" t="str">
        <x:v>自动评审02</x:v>
      </x:c>
      <x:c r="I331" s="16" t="n">
        <x:v>2</x:v>
      </x:c>
      <x:c r="J331" s="16" t="n">
        <x:v>2</x:v>
      </x:c>
      <x:c r="K331" s="16" t="n">
        <x:v>4</x:v>
      </x:c>
      <x:c r="L331" s="16" t="n">
        <x:v>0</x:v>
      </x:c>
      <x:c r="M331" s="21" t="str">
        <x:v>参考国家美国已被明确回答，没有新增产地；in United States漏定冠词。</x:v>
      </x:c>
      <x:c r="N331" s="2" t="str">
        <x:v>gpt-6.1-sol</x:v>
      </x:c>
      <x:c r="O331" s="2" t="str">
        <x:v>ultra</x:v>
      </x:c>
      <x:c r="P331" s="16"/>
      <x:c r="Q331" s="16"/>
      <x:c r="R331" s="16"/>
      <x:c r="S331" s="16"/>
      <x:c r="T331" s="16"/>
    </x:row>
    <x:row r="332" ht="54" customHeight="1">
      <x:c r="A332" s="16" t="n">
        <x:v>64</x:v>
      </x:c>
      <x:c r="B332" s="2" t="str">
        <x:v>Q515450_P57_0</x:v>
      </x:c>
      <x:c r="C332" s="21" t="str">
        <x:v>Who directed Deathstalker IV: Match of Titans?</x:v>
      </x:c>
      <x:c r="D332" s="21" t="str">
        <x:v>Deathstalker IV: Match of Titans was directed by Howard R. Cohen. || The director or directors of Deathstalker IV: Match of Titans are Howard R. Cohen.</x:v>
      </x:c>
      <x:c r="E332" s="16" t="n">
        <x:v>1</x:v>
      </x:c>
      <x:c r="F332" s="21" t="str">
        <x:v>Deathstalker IV: Match of Titans was directed by Howard R. Cohen.</x:v>
      </x:c>
      <x:c r="G332" s="2" t="str">
        <x:v>A0</x:v>
      </x:c>
      <x:c r="H332" s="2" t="str">
        <x:v>自动评审02</x:v>
      </x:c>
      <x:c r="I332" s="16" t="n">
        <x:v>2</x:v>
      </x:c>
      <x:c r="J332" s="16" t="n">
        <x:v>2</x:v>
      </x:c>
      <x:c r="K332" s="16" t="n">
        <x:v>5</x:v>
      </x:c>
      <x:c r="L332" s="16" t="n">
        <x:v>0</x:v>
      </x:c>
      <x:c r="M332" s="21" t="str">
        <x:v>Howard R. Cohen姓名及执导关系均与参考一致，完整回答，句子自然。</x:v>
      </x:c>
      <x:c r="N332" s="2" t="str">
        <x:v>gpt-6.1-sol</x:v>
      </x:c>
      <x:c r="O332" s="2" t="str">
        <x:v>ultra</x:v>
      </x:c>
      <x:c r="P332" s="16"/>
      <x:c r="Q332" s="16"/>
      <x:c r="R332" s="16"/>
      <x:c r="S332" s="16"/>
      <x:c r="T332" s="16"/>
    </x:row>
    <x:row r="333" ht="54" customHeight="1">
      <x:c r="A333" s="16" t="n">
        <x:v>64</x:v>
      </x:c>
      <x:c r="B333" s="2" t="str">
        <x:v>Q515450_P57_0</x:v>
      </x:c>
      <x:c r="C333" s="21" t="str">
        <x:v>Who directed Deathstalker IV: Match of Titans?</x:v>
      </x:c>
      <x:c r="D333" s="21" t="str">
        <x:v>Deathstalker IV: Match of Titans was directed by Howard R. Cohen. || The director or directors of Deathstalker IV: Match of Titans are Howard R. Cohen.</x:v>
      </x:c>
      <x:c r="E333" s="16" t="n">
        <x:v>2</x:v>
      </x:c>
      <x:c r="F333" s="21" t="str">
        <x:v>Deathstalker IV: Match of Titans was directed by Howard R. Cohen.</x:v>
      </x:c>
      <x:c r="G333" s="2" t="str">
        <x:v>B0</x:v>
      </x:c>
      <x:c r="H333" s="2" t="str">
        <x:v>自动评审02</x:v>
      </x:c>
      <x:c r="I333" s="16" t="n">
        <x:v>2</x:v>
      </x:c>
      <x:c r="J333" s="16" t="n">
        <x:v>2</x:v>
      </x:c>
      <x:c r="K333" s="16" t="n">
        <x:v>5</x:v>
      </x:c>
      <x:c r="L333" s="16" t="n">
        <x:v>0</x:v>
      </x:c>
      <x:c r="M333" s="21" t="str">
        <x:v>Deathstalker IV: Match of Titans的唯一导演准确列为Howard R. Cohen，表达清楚。</x:v>
      </x:c>
      <x:c r="N333" s="2" t="str">
        <x:v>gpt-6.1-sol</x:v>
      </x:c>
      <x:c r="O333" s="2" t="str">
        <x:v>ultra</x:v>
      </x:c>
      <x:c r="P333" s="16"/>
      <x:c r="Q333" s="16"/>
      <x:c r="R333" s="16"/>
      <x:c r="S333" s="16"/>
      <x:c r="T333" s="16"/>
    </x:row>
    <x:row r="334" ht="40" customHeight="1">
      <x:c r="A334" s="16" t="n">
        <x:v>65</x:v>
      </x:c>
      <x:c r="B334" s="2" t="str">
        <x:v>Q54975_P495_1</x:v>
      </x:c>
      <x:c r="C334" s="21" t="str">
        <x:v>What is the country of origin of Kiler-ów 2-óch?</x:v>
      </x:c>
      <x:c r="D334" s="21" t="str">
        <x:v>Kiler-ów 2-óch originated in Poland. || The countries of origin of Kiler-ów 2-óch are Poland.</x:v>
      </x:c>
      <x:c r="E334" s="16" t="n">
        <x:v>1</x:v>
      </x:c>
      <x:c r="F334" s="21" t="str">
        <x:v>Kiler-ów 2-óch originated in Poland.</x:v>
      </x:c>
      <x:c r="G334" s="2" t="str">
        <x:v>B0</x:v>
      </x:c>
      <x:c r="H334" s="2" t="str">
        <x:v>自动评审02</x:v>
      </x:c>
      <x:c r="I334" s="16" t="n">
        <x:v>2</x:v>
      </x:c>
      <x:c r="J334" s="16" t="n">
        <x:v>2</x:v>
      </x:c>
      <x:c r="K334" s="16" t="n">
        <x:v>5</x:v>
      </x:c>
      <x:c r="L334" s="16" t="n">
        <x:v>0</x:v>
      </x:c>
      <x:c r="M334" s="21" t="str">
        <x:v>Poland准确覆盖参考唯一产地，片名中的重音和数字不影响语言自然度。</x:v>
      </x:c>
      <x:c r="N334" s="2" t="str">
        <x:v>gpt-6.1-sol</x:v>
      </x:c>
      <x:c r="O334" s="2" t="str">
        <x:v>ultra</x:v>
      </x:c>
      <x:c r="P334" s="16"/>
      <x:c r="Q334" s="16"/>
      <x:c r="R334" s="16"/>
      <x:c r="S334" s="16"/>
      <x:c r="T334" s="16"/>
    </x:row>
    <x:row r="335" ht="40" customHeight="1">
      <x:c r="A335" s="16" t="n">
        <x:v>65</x:v>
      </x:c>
      <x:c r="B335" s="2" t="str">
        <x:v>Q54975_P495_1</x:v>
      </x:c>
      <x:c r="C335" s="21" t="str">
        <x:v>What is the country of origin of Kiler-ów 2-óch?</x:v>
      </x:c>
      <x:c r="D335" s="21" t="str">
        <x:v>Kiler-ów 2-óch originated in Poland. || The countries of origin of Kiler-ów 2-óch are Poland.</x:v>
      </x:c>
      <x:c r="E335" s="16" t="n">
        <x:v>2</x:v>
      </x:c>
      <x:c r="F335" s="21" t="str">
        <x:v>Kiler-ów 2-óch originated in Poland.</x:v>
      </x:c>
      <x:c r="G335" s="2" t="str">
        <x:v>A0</x:v>
      </x:c>
      <x:c r="H335" s="2" t="str">
        <x:v>自动评审02</x:v>
      </x:c>
      <x:c r="I335" s="16" t="n">
        <x:v>2</x:v>
      </x:c>
      <x:c r="J335" s="16" t="n">
        <x:v>2</x:v>
      </x:c>
      <x:c r="K335" s="16" t="n">
        <x:v>5</x:v>
      </x:c>
      <x:c r="L335" s="16" t="n">
        <x:v>0</x:v>
      </x:c>
      <x:c r="M335" s="21" t="str">
        <x:v>Kiler-ów 2-óch产自波兰与参考一致，信息完整，句子通顺。</x:v>
      </x:c>
      <x:c r="N335" s="2" t="str">
        <x:v>gpt-6.1-sol</x:v>
      </x:c>
      <x:c r="O335" s="2" t="str">
        <x:v>ultra</x:v>
      </x:c>
      <x:c r="P335" s="16"/>
      <x:c r="Q335" s="16"/>
      <x:c r="R335" s="16"/>
      <x:c r="S335" s="16"/>
      <x:c r="T335" s="16"/>
    </x:row>
    <x:row r="336" ht="40" customHeight="1">
      <x:c r="A336" s="16" t="n">
        <x:v>66</x:v>
      </x:c>
      <x:c r="B336" s="2" t="str">
        <x:v>Q1141706_P57_2</x:v>
      </x:c>
      <x:c r="C336" s="21" t="str">
        <x:v>Name the director or directors of The Peacemaker.</x:v>
      </x:c>
      <x:c r="D336" s="21" t="str">
        <x:v>The Peacemaker was directed by Mimi Leder. || The director or directors of The Peacemaker are Mimi Leder.</x:v>
      </x:c>
      <x:c r="E336" s="16" t="n">
        <x:v>1</x:v>
      </x:c>
      <x:c r="F336" s="21" t="str">
        <x:v>The Peacemaker was directed by Mimi Leder.</x:v>
      </x:c>
      <x:c r="G336" s="2" t="str">
        <x:v>B0</x:v>
      </x:c>
      <x:c r="H336" s="2" t="str">
        <x:v>自动评审02</x:v>
      </x:c>
      <x:c r="I336" s="16" t="n">
        <x:v>2</x:v>
      </x:c>
      <x:c r="J336" s="16" t="n">
        <x:v>2</x:v>
      </x:c>
      <x:c r="K336" s="16" t="n">
        <x:v>5</x:v>
      </x:c>
      <x:c r="L336" s="16" t="n">
        <x:v>0</x:v>
      </x:c>
      <x:c r="M336" s="21" t="str">
        <x:v>Mimi Leder准确完整地回答导演问题，电影与导演关系清楚自然。</x:v>
      </x:c>
      <x:c r="N336" s="2" t="str">
        <x:v>gpt-6.1-sol</x:v>
      </x:c>
      <x:c r="O336" s="2" t="str">
        <x:v>ultra</x:v>
      </x:c>
      <x:c r="P336" s="16"/>
      <x:c r="Q336" s="16"/>
      <x:c r="R336" s="16"/>
      <x:c r="S336" s="16"/>
      <x:c r="T336" s="16"/>
    </x:row>
    <x:row r="337" ht="40" customHeight="1">
      <x:c r="A337" s="16" t="n">
        <x:v>66</x:v>
      </x:c>
      <x:c r="B337" s="2" t="str">
        <x:v>Q1141706_P57_2</x:v>
      </x:c>
      <x:c r="C337" s="21" t="str">
        <x:v>Name the director or directors of The Peacemaker.</x:v>
      </x:c>
      <x:c r="D337" s="21" t="str">
        <x:v>The Peacemaker was directed by Mimi Leder. || The director or directors of The Peacemaker are Mimi Leder.</x:v>
      </x:c>
      <x:c r="E337" s="16" t="n">
        <x:v>2</x:v>
      </x:c>
      <x:c r="F337" s="21" t="str">
        <x:v>The Peacemaker was directed by Mimi Leder.</x:v>
      </x:c>
      <x:c r="G337" s="2" t="str">
        <x:v>A0</x:v>
      </x:c>
      <x:c r="H337" s="2" t="str">
        <x:v>自动评审02</x:v>
      </x:c>
      <x:c r="I337" s="16" t="n">
        <x:v>2</x:v>
      </x:c>
      <x:c r="J337" s="16" t="n">
        <x:v>2</x:v>
      </x:c>
      <x:c r="K337" s="16" t="n">
        <x:v>5</x:v>
      </x:c>
      <x:c r="L337" s="16" t="n">
        <x:v>0</x:v>
      </x:c>
      <x:c r="M337" s="21" t="str">
        <x:v>The Peacemaker的导演Mimi Leder与参考一致，无遗漏或额外关系。</x:v>
      </x:c>
      <x:c r="N337" s="2" t="str">
        <x:v>gpt-6.1-sol</x:v>
      </x:c>
      <x:c r="O337" s="2" t="str">
        <x:v>ultra</x:v>
      </x:c>
      <x:c r="P337" s="16"/>
      <x:c r="Q337" s="16"/>
      <x:c r="R337" s="16"/>
      <x:c r="S337" s="16"/>
      <x:c r="T337" s="16"/>
    </x:row>
    <x:row r="338" ht="40" customHeight="1">
      <x:c r="A338" s="16" t="n">
        <x:v>67</x:v>
      </x:c>
      <x:c r="B338" s="2" t="str">
        <x:v>Q112977213_P364_1</x:v>
      </x:c>
      <x:c r="C338" s="21" t="str">
        <x:v>Which languages was Mickey 17 originally made in?</x:v>
      </x:c>
      <x:c r="D338" s="21" t="str">
        <x:v>The original languages of Mickey 17 are English. || Mickey 17 was originally made in English.</x:v>
      </x:c>
      <x:c r="E338" s="16" t="n">
        <x:v>1</x:v>
      </x:c>
      <x:c r="F338" s="21" t="str">
        <x:v>The original languages of Mickey 17 are English.</x:v>
      </x:c>
      <x:c r="G338" s="2" t="str">
        <x:v>A0</x:v>
      </x:c>
      <x:c r="H338" s="2" t="str">
        <x:v>自动评审02</x:v>
      </x:c>
      <x:c r="I338" s="16" t="n">
        <x:v>2</x:v>
      </x:c>
      <x:c r="J338" s="16" t="n">
        <x:v>2</x:v>
      </x:c>
      <x:c r="K338" s="16" t="n">
        <x:v>4</x:v>
      </x:c>
      <x:c r="L338" s="16" t="n">
        <x:v>0</x:v>
      </x:c>
      <x:c r="M338" s="21" t="str">
        <x:v>Mickey 17的英语语言信息正确完整；单一语言配复数languages…are稍生硬。</x:v>
      </x:c>
      <x:c r="N338" s="2" t="str">
        <x:v>gpt-6.1-sol</x:v>
      </x:c>
      <x:c r="O338" s="2" t="str">
        <x:v>ultra</x:v>
      </x:c>
      <x:c r="P338" s="16"/>
      <x:c r="Q338" s="16"/>
      <x:c r="R338" s="16"/>
      <x:c r="S338" s="16"/>
      <x:c r="T338" s="16"/>
    </x:row>
    <x:row r="339" ht="40" customHeight="1">
      <x:c r="A339" s="16" t="n">
        <x:v>67</x:v>
      </x:c>
      <x:c r="B339" s="2" t="str">
        <x:v>Q112977213_P364_1</x:v>
      </x:c>
      <x:c r="C339" s="21" t="str">
        <x:v>Which languages was Mickey 17 originally made in?</x:v>
      </x:c>
      <x:c r="D339" s="21" t="str">
        <x:v>The original languages of Mickey 17 are English. || Mickey 17 was originally made in English.</x:v>
      </x:c>
      <x:c r="E339" s="16" t="n">
        <x:v>2</x:v>
      </x:c>
      <x:c r="F339" s="21" t="str">
        <x:v>The original languages of Mickey 17 are English.</x:v>
      </x:c>
      <x:c r="G339" s="2" t="str">
        <x:v>B0</x:v>
      </x:c>
      <x:c r="H339" s="2" t="str">
        <x:v>自动评审02</x:v>
      </x:c>
      <x:c r="I339" s="16" t="n">
        <x:v>2</x:v>
      </x:c>
      <x:c r="J339" s="16" t="n">
        <x:v>2</x:v>
      </x:c>
      <x:c r="K339" s="16" t="n">
        <x:v>4</x:v>
      </x:c>
      <x:c r="L339" s="16" t="n">
        <x:v>0</x:v>
      </x:c>
      <x:c r="M339" s="21" t="str">
        <x:v>English覆盖参考全部语言，没有新增事实；一个语言使用复数框架略不自然。</x:v>
      </x:c>
      <x:c r="N339" s="2" t="str">
        <x:v>gpt-6.1-sol</x:v>
      </x:c>
      <x:c r="O339" s="2" t="str">
        <x:v>ultra</x:v>
      </x:c>
      <x:c r="P339" s="16"/>
      <x:c r="Q339" s="16"/>
      <x:c r="R339" s="16"/>
      <x:c r="S339" s="16"/>
      <x:c r="T339" s="16"/>
    </x:row>
    <x:row r="340" ht="54" customHeight="1">
      <x:c r="A340" s="16" t="n">
        <x:v>68</x:v>
      </x:c>
      <x:c r="B340" s="2" t="str">
        <x:v>Q967478_P136_2</x:v>
      </x:c>
      <x:c r="C340" s="21" t="str">
        <x:v>Name the genre or genres of Johnny English Reborn.</x:v>
      </x:c>
      <x:c r="D340" s="21" t="str">
        <x:v>Johnny English Reborn belongs to the following genres: comedy film, spy film and action comedy film. || The genres of Johnny English Reborn are comedy film, spy film and action comedy film.</x:v>
      </x:c>
      <x:c r="E340" s="16" t="n">
        <x:v>1</x:v>
      </x:c>
      <x:c r="F340" s="21" t="str">
        <x:v>Johnny English Reborn belongs to the following genres: comedy film, spy film and action comedy film.</x:v>
      </x:c>
      <x:c r="G340" s="2" t="str">
        <x:v>B0</x:v>
      </x:c>
      <x:c r="H340" s="2" t="str">
        <x:v>自动评审02</x:v>
      </x:c>
      <x:c r="I340" s="16" t="n">
        <x:v>2</x:v>
      </x:c>
      <x:c r="J340" s="16" t="n">
        <x:v>2</x:v>
      </x:c>
      <x:c r="K340" s="16" t="n">
        <x:v>5</x:v>
      </x:c>
      <x:c r="L340" s="16" t="n">
        <x:v>0</x:v>
      </x:c>
      <x:c r="M340" s="21" t="str">
        <x:v>喜剧片、间谍片、动作喜剧片三项参考类型均准确完整，列举自然。</x:v>
      </x:c>
      <x:c r="N340" s="2" t="str">
        <x:v>gpt-6.1-sol</x:v>
      </x:c>
      <x:c r="O340" s="2" t="str">
        <x:v>ultra</x:v>
      </x:c>
      <x:c r="P340" s="16"/>
      <x:c r="Q340" s="16"/>
      <x:c r="R340" s="16"/>
      <x:c r="S340" s="16"/>
      <x:c r="T340" s="16"/>
    </x:row>
    <x:row r="341" ht="54" customHeight="1">
      <x:c r="A341" s="16" t="n">
        <x:v>68</x:v>
      </x:c>
      <x:c r="B341" s="2" t="str">
        <x:v>Q967478_P136_2</x:v>
      </x:c>
      <x:c r="C341" s="21" t="str">
        <x:v>Name the genre or genres of Johnny English Reborn.</x:v>
      </x:c>
      <x:c r="D341" s="21" t="str">
        <x:v>Johnny English Reborn belongs to the following genres: comedy film, spy film and action comedy film. || The genres of Johnny English Reborn are comedy film, spy film and action comedy film.</x:v>
      </x:c>
      <x:c r="E341" s="16" t="n">
        <x:v>2</x:v>
      </x:c>
      <x:c r="F341" s="21" t="str">
        <x:v>Johnny English Reborn belongs to the following genres: comedy film, spy film and action comedy film.</x:v>
      </x:c>
      <x:c r="G341" s="2" t="str">
        <x:v>A0</x:v>
      </x:c>
      <x:c r="H341" s="2" t="str">
        <x:v>自动评审02</x:v>
      </x:c>
      <x:c r="I341" s="16" t="n">
        <x:v>2</x:v>
      </x:c>
      <x:c r="J341" s="16" t="n">
        <x:v>2</x:v>
      </x:c>
      <x:c r="K341" s="16" t="n">
        <x:v>5</x:v>
      </x:c>
      <x:c r="L341" s="16" t="n">
        <x:v>0</x:v>
      </x:c>
      <x:c r="M341" s="21" t="str">
        <x:v>Johnny English Reborn的三个类型均与参考一致，没有遗漏，句子清晰流畅。</x:v>
      </x:c>
      <x:c r="N341" s="2" t="str">
        <x:v>gpt-6.1-sol</x:v>
      </x:c>
      <x:c r="O341" s="2" t="str">
        <x:v>ultra</x:v>
      </x:c>
      <x:c r="P341" s="16"/>
      <x:c r="Q341" s="16"/>
      <x:c r="R341" s="16"/>
      <x:c r="S341" s="16"/>
      <x:c r="T341" s="16"/>
    </x:row>
    <x:row r="342" ht="40" customHeight="1">
      <x:c r="A342" s="16" t="n">
        <x:v>69</x:v>
      </x:c>
      <x:c r="B342" s="2" t="str">
        <x:v>Q1535654_P57_1</x:v>
      </x:c>
      <x:c r="C342" s="21" t="str">
        <x:v>Who was the director of Inspector Gadget?</x:v>
      </x:c>
      <x:c r="D342" s="21" t="str">
        <x:v>Inspector Gadget was directed by David Kellogg. || The director or directors of Inspector Gadget are David Kellogg.</x:v>
      </x:c>
      <x:c r="E342" s="16" t="n">
        <x:v>1</x:v>
      </x:c>
      <x:c r="F342" s="21" t="str">
        <x:v>Inspector Gadget was directed by David Kellogg.</x:v>
      </x:c>
      <x:c r="G342" s="2" t="str">
        <x:v>B0</x:v>
      </x:c>
      <x:c r="H342" s="2" t="str">
        <x:v>自动评审02</x:v>
      </x:c>
      <x:c r="I342" s="16" t="n">
        <x:v>2</x:v>
      </x:c>
      <x:c r="J342" s="16" t="n">
        <x:v>2</x:v>
      </x:c>
      <x:c r="K342" s="16" t="n">
        <x:v>5</x:v>
      </x:c>
      <x:c r="L342" s="16" t="n">
        <x:v>0</x:v>
      </x:c>
      <x:c r="M342" s="21" t="str">
        <x:v>David Kellogg与参考导演一致，完整回答Inspector Gadget的执导者，语言自然。</x:v>
      </x:c>
      <x:c r="N342" s="2" t="str">
        <x:v>gpt-6.1-sol</x:v>
      </x:c>
      <x:c r="O342" s="2" t="str">
        <x:v>ultra</x:v>
      </x:c>
      <x:c r="P342" s="16"/>
      <x:c r="Q342" s="16"/>
      <x:c r="R342" s="16"/>
      <x:c r="S342" s="16"/>
      <x:c r="T342" s="16"/>
    </x:row>
    <x:row r="343" ht="40" customHeight="1">
      <x:c r="A343" s="16" t="n">
        <x:v>69</x:v>
      </x:c>
      <x:c r="B343" s="2" t="str">
        <x:v>Q1535654_P57_1</x:v>
      </x:c>
      <x:c r="C343" s="21" t="str">
        <x:v>Who was the director of Inspector Gadget?</x:v>
      </x:c>
      <x:c r="D343" s="21" t="str">
        <x:v>Inspector Gadget was directed by David Kellogg. || The director or directors of Inspector Gadget are David Kellogg.</x:v>
      </x:c>
      <x:c r="E343" s="16" t="n">
        <x:v>2</x:v>
      </x:c>
      <x:c r="F343" s="21" t="str">
        <x:v>Inspector Gadget was directed by David Kellogg.</x:v>
      </x:c>
      <x:c r="G343" s="2" t="str">
        <x:v>A0</x:v>
      </x:c>
      <x:c r="H343" s="2" t="str">
        <x:v>自动评审02</x:v>
      </x:c>
      <x:c r="I343" s="16" t="n">
        <x:v>2</x:v>
      </x:c>
      <x:c r="J343" s="16" t="n">
        <x:v>2</x:v>
      </x:c>
      <x:c r="K343" s="16" t="n">
        <x:v>5</x:v>
      </x:c>
      <x:c r="L343" s="16" t="n">
        <x:v>0</x:v>
      </x:c>
      <x:c r="M343" s="21" t="str">
        <x:v>影片对应到David Kellogg准确且充分，句子完整，未增加其他事实。</x:v>
      </x:c>
      <x:c r="N343" s="2" t="str">
        <x:v>gpt-6.1-sol</x:v>
      </x:c>
      <x:c r="O343" s="2" t="str">
        <x:v>ultra</x:v>
      </x:c>
      <x:c r="P343" s="16"/>
      <x:c r="Q343" s="16"/>
      <x:c r="R343" s="16"/>
      <x:c r="S343" s="16"/>
      <x:c r="T343" s="16"/>
    </x:row>
    <x:row r="344" ht="40" customHeight="1">
      <x:c r="A344" s="16" t="n">
        <x:v>70</x:v>
      </x:c>
      <x:c r="B344" s="2" t="str">
        <x:v>Q673902_P495_2</x:v>
      </x:c>
      <x:c r="C344" s="21" t="str">
        <x:v>Name the countries of origin of Jeepers Creepers.</x:v>
      </x:c>
      <x:c r="D344" s="21" t="str">
        <x:v>Jeepers Creepers originated in United States and Germany. || The countries of origin of Jeepers Creepers are United States and Germany.</x:v>
      </x:c>
      <x:c r="E344" s="16" t="n">
        <x:v>1</x:v>
      </x:c>
      <x:c r="F344" s="21" t="str">
        <x:v>Jeepers Creepers originated in United States and Germany.</x:v>
      </x:c>
      <x:c r="G344" s="2" t="str">
        <x:v>A0</x:v>
      </x:c>
      <x:c r="H344" s="2" t="str">
        <x:v>自动评审02</x:v>
      </x:c>
      <x:c r="I344" s="16" t="n">
        <x:v>2</x:v>
      </x:c>
      <x:c r="J344" s="16" t="n">
        <x:v>2</x:v>
      </x:c>
      <x:c r="K344" s="16" t="n">
        <x:v>4</x:v>
      </x:c>
      <x:c r="L344" s="16" t="n">
        <x:v>0</x:v>
      </x:c>
      <x:c r="M344" s="21" t="str">
        <x:v>美国和德国两国产地全部正确；United States前应使用the。</x:v>
      </x:c>
      <x:c r="N344" s="2" t="str">
        <x:v>gpt-6.1-sol</x:v>
      </x:c>
      <x:c r="O344" s="2" t="str">
        <x:v>ultra</x:v>
      </x:c>
      <x:c r="P344" s="16"/>
      <x:c r="Q344" s="16"/>
      <x:c r="R344" s="16"/>
      <x:c r="S344" s="16"/>
      <x:c r="T344" s="16"/>
    </x:row>
    <x:row r="345" ht="40" customHeight="1">
      <x:c r="A345" s="16" t="n">
        <x:v>70</x:v>
      </x:c>
      <x:c r="B345" s="2" t="str">
        <x:v>Q673902_P495_2</x:v>
      </x:c>
      <x:c r="C345" s="21" t="str">
        <x:v>Name the countries of origin of Jeepers Creepers.</x:v>
      </x:c>
      <x:c r="D345" s="21" t="str">
        <x:v>Jeepers Creepers originated in United States and Germany. || The countries of origin of Jeepers Creepers are United States and Germany.</x:v>
      </x:c>
      <x:c r="E345" s="16" t="n">
        <x:v>2</x:v>
      </x:c>
      <x:c r="F345" s="21" t="str">
        <x:v>Jeepers Creepers originated in United States and Germany.</x:v>
      </x:c>
      <x:c r="G345" s="2" t="str">
        <x:v>B0</x:v>
      </x:c>
      <x:c r="H345" s="2" t="str">
        <x:v>自动评审02</x:v>
      </x:c>
      <x:c r="I345" s="16" t="n">
        <x:v>2</x:v>
      </x:c>
      <x:c r="J345" s="16" t="n">
        <x:v>2</x:v>
      </x:c>
      <x:c r="K345" s="16" t="n">
        <x:v>4</x:v>
      </x:c>
      <x:c r="L345" s="16" t="n">
        <x:v>0</x:v>
      </x:c>
      <x:c r="M345" s="21" t="str">
        <x:v>Jeepers Creepers的United States与Germany均覆盖参考；美国名称前漏冠词。</x:v>
      </x:c>
      <x:c r="N345" s="2" t="str">
        <x:v>gpt-6.1-sol</x:v>
      </x:c>
      <x:c r="O345" s="2" t="str">
        <x:v>ultra</x:v>
      </x:c>
      <x:c r="P345" s="16"/>
      <x:c r="Q345" s="16"/>
      <x:c r="R345" s="16"/>
      <x:c r="S345" s="16"/>
      <x:c r="T345" s="16"/>
    </x:row>
    <x:row r="346" ht="40" customHeight="1">
      <x:c r="A346" s="16" t="n">
        <x:v>71</x:v>
      </x:c>
      <x:c r="B346" s="2" t="str">
        <x:v>Q13417189_P364_2</x:v>
      </x:c>
      <x:c r="C346" s="21" t="str">
        <x:v>Name the original language or languages of Interstellar.</x:v>
      </x:c>
      <x:c r="D346" s="21" t="str">
        <x:v>The original languages of Interstellar are English. || Interstellar was originally made in English.</x:v>
      </x:c>
      <x:c r="E346" s="16" t="n">
        <x:v>1</x:v>
      </x:c>
      <x:c r="F346" s="21" t="str">
        <x:v>The original languages of Interstellar are English.</x:v>
      </x:c>
      <x:c r="G346" s="2" t="str">
        <x:v>B0</x:v>
      </x:c>
      <x:c r="H346" s="2" t="str">
        <x:v>自动评审02</x:v>
      </x:c>
      <x:c r="I346" s="16" t="n">
        <x:v>2</x:v>
      </x:c>
      <x:c r="J346" s="16" t="n">
        <x:v>2</x:v>
      </x:c>
      <x:c r="K346" s="16" t="n">
        <x:v>4</x:v>
      </x:c>
      <x:c r="L346" s="16" t="n">
        <x:v>0</x:v>
      </x:c>
      <x:c r="M346" s="21" t="str">
        <x:v>Interstellar的原始语言English准确完整；单项语言使用复数languages略不自然。</x:v>
      </x:c>
      <x:c r="N346" s="2" t="str">
        <x:v>gpt-6.1-sol</x:v>
      </x:c>
      <x:c r="O346" s="2" t="str">
        <x:v>ultra</x:v>
      </x:c>
      <x:c r="P346" s="16"/>
      <x:c r="Q346" s="16"/>
      <x:c r="R346" s="16"/>
      <x:c r="S346" s="16"/>
      <x:c r="T346" s="16"/>
    </x:row>
    <x:row r="347" ht="40" customHeight="1">
      <x:c r="A347" s="16" t="n">
        <x:v>71</x:v>
      </x:c>
      <x:c r="B347" s="2" t="str">
        <x:v>Q13417189_P364_2</x:v>
      </x:c>
      <x:c r="C347" s="21" t="str">
        <x:v>Name the original language or languages of Interstellar.</x:v>
      </x:c>
      <x:c r="D347" s="21" t="str">
        <x:v>The original languages of Interstellar are English. || Interstellar was originally made in English.</x:v>
      </x:c>
      <x:c r="E347" s="16" t="n">
        <x:v>2</x:v>
      </x:c>
      <x:c r="F347" s="21" t="str">
        <x:v>The original languages of Interstellar are English.</x:v>
      </x:c>
      <x:c r="G347" s="2" t="str">
        <x:v>A0</x:v>
      </x:c>
      <x:c r="H347" s="2" t="str">
        <x:v>自动评审02</x:v>
      </x:c>
      <x:c r="I347" s="16" t="n">
        <x:v>2</x:v>
      </x:c>
      <x:c r="J347" s="16" t="n">
        <x:v>2</x:v>
      </x:c>
      <x:c r="K347" s="16" t="n">
        <x:v>4</x:v>
      </x:c>
      <x:c r="L347" s="16" t="n">
        <x:v>0</x:v>
      </x:c>
      <x:c r="M347" s="21" t="str">
        <x:v>英语这一唯一语言已明确列出，无额外语言；languages…are的复数框架稍生硬。</x:v>
      </x:c>
      <x:c r="N347" s="2" t="str">
        <x:v>gpt-6.1-sol</x:v>
      </x:c>
      <x:c r="O347" s="2" t="str">
        <x:v>ultra</x:v>
      </x:c>
      <x:c r="P347" s="16"/>
      <x:c r="Q347" s="16"/>
      <x:c r="R347" s="16"/>
      <x:c r="S347" s="16"/>
      <x:c r="T347" s="16"/>
    </x:row>
    <x:row r="348" ht="54" customHeight="1">
      <x:c r="A348" s="16" t="n">
        <x:v>72</x:v>
      </x:c>
      <x:c r="B348" s="2" t="str">
        <x:v>Q1137907_P136_1</x:v>
      </x:c>
      <x:c r="C348" s="21" t="str">
        <x:v>Which genres does Sydney White belong to?</x:v>
      </x:c>
      <x:c r="D348" s="21" t="str">
        <x:v>Sydney White belongs to the following genres: romantic comedy and teen film. || The genres of Sydney White are romantic comedy and teen film.</x:v>
      </x:c>
      <x:c r="E348" s="16" t="n">
        <x:v>1</x:v>
      </x:c>
      <x:c r="F348" s="21" t="str">
        <x:v>Sydney White belongs to the following genres: romantic comedy and teen film.</x:v>
      </x:c>
      <x:c r="G348" s="2" t="str">
        <x:v>B0</x:v>
      </x:c>
      <x:c r="H348" s="2" t="str">
        <x:v>自动评审02</x:v>
      </x:c>
      <x:c r="I348" s="16" t="n">
        <x:v>2</x:v>
      </x:c>
      <x:c r="J348" s="16" t="n">
        <x:v>2</x:v>
      </x:c>
      <x:c r="K348" s="16" t="n">
        <x:v>5</x:v>
      </x:c>
      <x:c r="L348" s="16" t="n">
        <x:v>0</x:v>
      </x:c>
      <x:c r="M348" s="21" t="str">
        <x:v>浪漫喜剧与青少年电影两类准确完整，类型与Sydney White的对应清楚。</x:v>
      </x:c>
      <x:c r="N348" s="2" t="str">
        <x:v>gpt-6.1-sol</x:v>
      </x:c>
      <x:c r="O348" s="2" t="str">
        <x:v>ultra</x:v>
      </x:c>
      <x:c r="P348" s="16"/>
      <x:c r="Q348" s="16"/>
      <x:c r="R348" s="16"/>
      <x:c r="S348" s="16"/>
      <x:c r="T348" s="16"/>
    </x:row>
    <x:row r="349" ht="54" customHeight="1">
      <x:c r="A349" s="16" t="n">
        <x:v>72</x:v>
      </x:c>
      <x:c r="B349" s="2" t="str">
        <x:v>Q1137907_P136_1</x:v>
      </x:c>
      <x:c r="C349" s="21" t="str">
        <x:v>Which genres does Sydney White belong to?</x:v>
      </x:c>
      <x:c r="D349" s="21" t="str">
        <x:v>Sydney White belongs to the following genres: romantic comedy and teen film. || The genres of Sydney White are romantic comedy and teen film.</x:v>
      </x:c>
      <x:c r="E349" s="16" t="n">
        <x:v>2</x:v>
      </x:c>
      <x:c r="F349" s="21" t="str">
        <x:v>Sydney White belongs to the following genres: romantic comedy and teen film.</x:v>
      </x:c>
      <x:c r="G349" s="2" t="str">
        <x:v>A0</x:v>
      </x:c>
      <x:c r="H349" s="2" t="str">
        <x:v>自动评审02</x:v>
      </x:c>
      <x:c r="I349" s="16" t="n">
        <x:v>2</x:v>
      </x:c>
      <x:c r="J349" s="16" t="n">
        <x:v>2</x:v>
      </x:c>
      <x:c r="K349" s="16" t="n">
        <x:v>5</x:v>
      </x:c>
      <x:c r="L349" s="16" t="n">
        <x:v>0</x:v>
      </x:c>
      <x:c r="M349" s="21" t="str">
        <x:v>romantic comedy和teen film均符合参考，完整列举，表达自然。</x:v>
      </x:c>
      <x:c r="N349" s="2" t="str">
        <x:v>gpt-6.1-sol</x:v>
      </x:c>
      <x:c r="O349" s="2" t="str">
        <x:v>ultra</x:v>
      </x:c>
      <x:c r="P349" s="16"/>
      <x:c r="Q349" s="16"/>
      <x:c r="R349" s="16"/>
      <x:c r="S349" s="16"/>
      <x:c r="T349" s="16"/>
    </x:row>
    <x:row r="350" ht="40" customHeight="1">
      <x:c r="A350" s="16" t="n">
        <x:v>73</x:v>
      </x:c>
      <x:c r="B350" s="2" t="str">
        <x:v>Q1392442_P495_1</x:v>
      </x:c>
      <x:c r="C350" s="21" t="str">
        <x:v>What is the country of origin of Clear and Present Danger?</x:v>
      </x:c>
      <x:c r="D350" s="21" t="str">
        <x:v>Clear and Present Danger originated in United States. || The countries of origin of Clear and Present Danger are United States.</x:v>
      </x:c>
      <x:c r="E350" s="16" t="n">
        <x:v>1</x:v>
      </x:c>
      <x:c r="F350" s="21" t="str">
        <x:v>Clear and Present Danger originated in United States.</x:v>
      </x:c>
      <x:c r="G350" s="2" t="str">
        <x:v>B0</x:v>
      </x:c>
      <x:c r="H350" s="2" t="str">
        <x:v>自动评审02</x:v>
      </x:c>
      <x:c r="I350" s="16" t="n">
        <x:v>2</x:v>
      </x:c>
      <x:c r="J350" s="16" t="n">
        <x:v>2</x:v>
      </x:c>
      <x:c r="K350" s="16" t="n">
        <x:v>4</x:v>
      </x:c>
      <x:c r="L350" s="16" t="n">
        <x:v>0</x:v>
      </x:c>
      <x:c r="M350" s="21" t="str">
        <x:v>Clear and Present Danger的美国产地正确完整；United States前漏the。</x:v>
      </x:c>
      <x:c r="N350" s="2" t="str">
        <x:v>gpt-6.1-sol</x:v>
      </x:c>
      <x:c r="O350" s="2" t="str">
        <x:v>ultra</x:v>
      </x:c>
      <x:c r="P350" s="16"/>
      <x:c r="Q350" s="16"/>
      <x:c r="R350" s="16"/>
      <x:c r="S350" s="16"/>
      <x:c r="T350" s="16"/>
    </x:row>
    <x:row r="351" ht="40" customHeight="1">
      <x:c r="A351" s="16" t="n">
        <x:v>73</x:v>
      </x:c>
      <x:c r="B351" s="2" t="str">
        <x:v>Q1392442_P495_1</x:v>
      </x:c>
      <x:c r="C351" s="21" t="str">
        <x:v>What is the country of origin of Clear and Present Danger?</x:v>
      </x:c>
      <x:c r="D351" s="21" t="str">
        <x:v>Clear and Present Danger originated in United States. || The countries of origin of Clear and Present Danger are United States.</x:v>
      </x:c>
      <x:c r="E351" s="16" t="n">
        <x:v>2</x:v>
      </x:c>
      <x:c r="F351" s="21" t="str">
        <x:v>Clear and Present Danger originated in United States.</x:v>
      </x:c>
      <x:c r="G351" s="2" t="str">
        <x:v>A0</x:v>
      </x:c>
      <x:c r="H351" s="2" t="str">
        <x:v>自动评审02</x:v>
      </x:c>
      <x:c r="I351" s="16" t="n">
        <x:v>2</x:v>
      </x:c>
      <x:c r="J351" s="16" t="n">
        <x:v>2</x:v>
      </x:c>
      <x:c r="K351" s="16" t="n">
        <x:v>4</x:v>
      </x:c>
      <x:c r="L351" s="16" t="n">
        <x:v>0</x:v>
      </x:c>
      <x:c r="M351" s="21" t="str">
        <x:v>唯一参考国家美国已给出，无多余产地；缺少定冠词是轻微英语问题。</x:v>
      </x:c>
      <x:c r="N351" s="2" t="str">
        <x:v>gpt-6.1-sol</x:v>
      </x:c>
      <x:c r="O351" s="2" t="str">
        <x:v>ultra</x:v>
      </x:c>
      <x:c r="P351" s="16"/>
      <x:c r="Q351" s="16"/>
      <x:c r="R351" s="16"/>
      <x:c r="S351" s="16"/>
      <x:c r="T351" s="16"/>
    </x:row>
    <x:row r="352" ht="40" customHeight="1">
      <x:c r="A352" s="16" t="n">
        <x:v>74</x:v>
      </x:c>
      <x:c r="B352" s="2" t="str">
        <x:v>Q426396_P364_2</x:v>
      </x:c>
      <x:c r="C352" s="21" t="str">
        <x:v>Name the original language or languages of Along Came Polly.</x:v>
      </x:c>
      <x:c r="D352" s="21" t="str">
        <x:v>The original languages of Along Came Polly are English. || Along Came Polly was originally made in English.</x:v>
      </x:c>
      <x:c r="E352" s="16" t="n">
        <x:v>1</x:v>
      </x:c>
      <x:c r="F352" s="21" t="str">
        <x:v>The original languages of Along Came Polly are English.</x:v>
      </x:c>
      <x:c r="G352" s="2" t="str">
        <x:v>B0</x:v>
      </x:c>
      <x:c r="H352" s="2" t="str">
        <x:v>自动评审02</x:v>
      </x:c>
      <x:c r="I352" s="16" t="n">
        <x:v>2</x:v>
      </x:c>
      <x:c r="J352" s="16" t="n">
        <x:v>2</x:v>
      </x:c>
      <x:c r="K352" s="16" t="n">
        <x:v>4</x:v>
      </x:c>
      <x:c r="L352" s="16" t="n">
        <x:v>0</x:v>
      </x:c>
      <x:c r="M352" s="21" t="str">
        <x:v>Along Came Polly的英语信息准确且完整；单一语言使用复数languages…are略不自然。</x:v>
      </x:c>
      <x:c r="N352" s="2" t="str">
        <x:v>gpt-6.1-sol</x:v>
      </x:c>
      <x:c r="O352" s="2" t="str">
        <x:v>ultra</x:v>
      </x:c>
      <x:c r="P352" s="16"/>
      <x:c r="Q352" s="16"/>
      <x:c r="R352" s="16"/>
      <x:c r="S352" s="16"/>
      <x:c r="T352" s="16"/>
    </x:row>
    <x:row r="353" ht="40" customHeight="1">
      <x:c r="A353" s="16" t="n">
        <x:v>74</x:v>
      </x:c>
      <x:c r="B353" s="2" t="str">
        <x:v>Q426396_P364_2</x:v>
      </x:c>
      <x:c r="C353" s="21" t="str">
        <x:v>Name the original language or languages of Along Came Polly.</x:v>
      </x:c>
      <x:c r="D353" s="21" t="str">
        <x:v>The original languages of Along Came Polly are English. || Along Came Polly was originally made in English.</x:v>
      </x:c>
      <x:c r="E353" s="16" t="n">
        <x:v>2</x:v>
      </x:c>
      <x:c r="F353" s="21" t="str">
        <x:v>The original languages of Along Came Polly are English.</x:v>
      </x:c>
      <x:c r="G353" s="2" t="str">
        <x:v>A0</x:v>
      </x:c>
      <x:c r="H353" s="2" t="str">
        <x:v>自动评审02</x:v>
      </x:c>
      <x:c r="I353" s="16" t="n">
        <x:v>2</x:v>
      </x:c>
      <x:c r="J353" s="16" t="n">
        <x:v>2</x:v>
      </x:c>
      <x:c r="K353" s="16" t="n">
        <x:v>4</x:v>
      </x:c>
      <x:c r="L353" s="16" t="n">
        <x:v>0</x:v>
      </x:c>
      <x:c r="M353" s="21" t="str">
        <x:v>English与参考唯一语言一致，无新增断言；复数语言表达用于一个语言稍生硬。</x:v>
      </x:c>
      <x:c r="N353" s="2" t="str">
        <x:v>gpt-6.1-sol</x:v>
      </x:c>
      <x:c r="O353" s="2" t="str">
        <x:v>ultra</x:v>
      </x:c>
      <x:c r="P353" s="16"/>
      <x:c r="Q353" s="16"/>
      <x:c r="R353" s="16"/>
      <x:c r="S353" s="16"/>
      <x:c r="T353" s="16"/>
    </x:row>
    <x:row r="354" ht="40" customHeight="1">
      <x:c r="A354" s="16" t="n">
        <x:v>75</x:v>
      </x:c>
      <x:c r="B354" s="2" t="str">
        <x:v>Q165780_P57_1</x:v>
      </x:c>
      <x:c r="C354" s="21" t="str">
        <x:v>Who was the director of Martin Luther, Heretic?</x:v>
      </x:c>
      <x:c r="D354" s="21" t="str">
        <x:v>Martin Luther, Heretic was directed by Norman Stone. || The director or directors of Martin Luther, Heretic are Norman Stone.</x:v>
      </x:c>
      <x:c r="E354" s="16" t="n">
        <x:v>1</x:v>
      </x:c>
      <x:c r="F354" s="21" t="str">
        <x:v>Martin Luther, Heretic was directed by Norman Stone.</x:v>
      </x:c>
      <x:c r="G354" s="2" t="str">
        <x:v>A0</x:v>
      </x:c>
      <x:c r="H354" s="2" t="str">
        <x:v>自动评审02</x:v>
      </x:c>
      <x:c r="I354" s="16" t="n">
        <x:v>2</x:v>
      </x:c>
      <x:c r="J354" s="16" t="n">
        <x:v>2</x:v>
      </x:c>
      <x:c r="K354" s="16" t="n">
        <x:v>5</x:v>
      </x:c>
      <x:c r="L354" s="16" t="n">
        <x:v>0</x:v>
      </x:c>
      <x:c r="M354" s="21" t="str">
        <x:v>Norman Stone是参考导演，执导关系完整准确；逗号属于片名，不影响理解。</x:v>
      </x:c>
      <x:c r="N354" s="2" t="str">
        <x:v>gpt-6.1-sol</x:v>
      </x:c>
      <x:c r="O354" s="2" t="str">
        <x:v>ultra</x:v>
      </x:c>
      <x:c r="P354" s="16"/>
      <x:c r="Q354" s="16"/>
      <x:c r="R354" s="16"/>
      <x:c r="S354" s="16"/>
      <x:c r="T354" s="16"/>
    </x:row>
    <x:row r="355" ht="40" customHeight="1">
      <x:c r="A355" s="16" t="n">
        <x:v>75</x:v>
      </x:c>
      <x:c r="B355" s="2" t="str">
        <x:v>Q165780_P57_1</x:v>
      </x:c>
      <x:c r="C355" s="21" t="str">
        <x:v>Who was the director of Martin Luther, Heretic?</x:v>
      </x:c>
      <x:c r="D355" s="21" t="str">
        <x:v>Martin Luther, Heretic was directed by Norman Stone. || The director or directors of Martin Luther, Heretic are Norman Stone.</x:v>
      </x:c>
      <x:c r="E355" s="16" t="n">
        <x:v>2</x:v>
      </x:c>
      <x:c r="F355" s="21" t="str">
        <x:v>Martin Luther, Heretic was directed by Norman Stone.</x:v>
      </x:c>
      <x:c r="G355" s="2" t="str">
        <x:v>B0</x:v>
      </x:c>
      <x:c r="H355" s="2" t="str">
        <x:v>自动评审02</x:v>
      </x:c>
      <x:c r="I355" s="16" t="n">
        <x:v>2</x:v>
      </x:c>
      <x:c r="J355" s="16" t="n">
        <x:v>2</x:v>
      </x:c>
      <x:c r="K355" s="16" t="n">
        <x:v>5</x:v>
      </x:c>
      <x:c r="L355" s="16" t="n">
        <x:v>0</x:v>
      </x:c>
      <x:c r="M355" s="21" t="str">
        <x:v>Martin Luther, Heretic由Norman Stone执导的信息正确齐全，语句自然。</x:v>
      </x:c>
      <x:c r="N355" s="2" t="str">
        <x:v>gpt-6.1-sol</x:v>
      </x:c>
      <x:c r="O355" s="2" t="str">
        <x:v>ultra</x:v>
      </x:c>
      <x:c r="P355" s="16"/>
      <x:c r="Q355" s="16"/>
      <x:c r="R355" s="16"/>
      <x:c r="S355" s="16"/>
      <x:c r="T355" s="16"/>
    </x:row>
    <x:row r="356" ht="40" customHeight="1">
      <x:c r="A356" s="16" t="n">
        <x:v>76</x:v>
      </x:c>
      <x:c r="B356" s="2" t="str">
        <x:v>Q645574_P136_2</x:v>
      </x:c>
      <x:c r="C356" s="21" t="str">
        <x:v>Name the genre or genres of The Misfits.</x:v>
      </x:c>
      <x:c r="D356" s="21" t="str">
        <x:v>The Misfits belongs to the following genres: drama film and romance film. || The genres of The Misfits are drama film and romance film.</x:v>
      </x:c>
      <x:c r="E356" s="16" t="n">
        <x:v>1</x:v>
      </x:c>
      <x:c r="F356" s="21" t="str">
        <x:v>The Misfits belongs to the following genres: drama film and romance film.</x:v>
      </x:c>
      <x:c r="G356" s="2" t="str">
        <x:v>B0</x:v>
      </x:c>
      <x:c r="H356" s="2" t="str">
        <x:v>自动评审02</x:v>
      </x:c>
      <x:c r="I356" s="16" t="n">
        <x:v>2</x:v>
      </x:c>
      <x:c r="J356" s="16" t="n">
        <x:v>2</x:v>
      </x:c>
      <x:c r="K356" s="16" t="n">
        <x:v>5</x:v>
      </x:c>
      <x:c r="L356" s="16" t="n">
        <x:v>0</x:v>
      </x:c>
      <x:c r="M356" s="21" t="str">
        <x:v>剧情片与爱情片两项均准确列出，覆盖参考，片名作为电影用belongs合适。</x:v>
      </x:c>
      <x:c r="N356" s="2" t="str">
        <x:v>gpt-6.1-sol</x:v>
      </x:c>
      <x:c r="O356" s="2" t="str">
        <x:v>ultra</x:v>
      </x:c>
      <x:c r="P356" s="16"/>
      <x:c r="Q356" s="16"/>
      <x:c r="R356" s="16"/>
      <x:c r="S356" s="16"/>
      <x:c r="T356" s="16"/>
    </x:row>
    <x:row r="357" ht="40" customHeight="1">
      <x:c r="A357" s="16" t="n">
        <x:v>76</x:v>
      </x:c>
      <x:c r="B357" s="2" t="str">
        <x:v>Q645574_P136_2</x:v>
      </x:c>
      <x:c r="C357" s="21" t="str">
        <x:v>Name the genre or genres of The Misfits.</x:v>
      </x:c>
      <x:c r="D357" s="21" t="str">
        <x:v>The Misfits belongs to the following genres: drama film and romance film. || The genres of The Misfits are drama film and romance film.</x:v>
      </x:c>
      <x:c r="E357" s="16" t="n">
        <x:v>2</x:v>
      </x:c>
      <x:c r="F357" s="21" t="str">
        <x:v>The Misfits belongs to the following genres: drama film and romance film.</x:v>
      </x:c>
      <x:c r="G357" s="2" t="str">
        <x:v>A0</x:v>
      </x:c>
      <x:c r="H357" s="2" t="str">
        <x:v>自动评审02</x:v>
      </x:c>
      <x:c r="I357" s="16" t="n">
        <x:v>2</x:v>
      </x:c>
      <x:c r="J357" s="16" t="n">
        <x:v>2</x:v>
      </x:c>
      <x:c r="K357" s="16" t="n">
        <x:v>5</x:v>
      </x:c>
      <x:c r="L357" s="16" t="n">
        <x:v>0</x:v>
      </x:c>
      <x:c r="M357" s="21" t="str">
        <x:v>The Misfits的drama film及romance film均有参考支持，句子完整顺畅。</x:v>
      </x:c>
      <x:c r="N357" s="2" t="str">
        <x:v>gpt-6.1-sol</x:v>
      </x:c>
      <x:c r="O357" s="2" t="str">
        <x:v>ultra</x:v>
      </x:c>
      <x:c r="P357" s="16"/>
      <x:c r="Q357" s="16"/>
      <x:c r="R357" s="16"/>
      <x:c r="S357" s="16"/>
      <x:c r="T357" s="16"/>
    </x:row>
    <x:row r="358" ht="40" customHeight="1">
      <x:c r="A358" s="16" t="n">
        <x:v>77</x:v>
      </x:c>
      <x:c r="B358" s="2" t="str">
        <x:v>Q47654_P364_0</x:v>
      </x:c>
      <x:c r="C358" s="21" t="str">
        <x:v>What is the original language of Saturday Night Fever?</x:v>
      </x:c>
      <x:c r="D358" s="21" t="str">
        <x:v>The original languages of Saturday Night Fever are English. || Saturday Night Fever was originally made in English.</x:v>
      </x:c>
      <x:c r="E358" s="16" t="n">
        <x:v>1</x:v>
      </x:c>
      <x:c r="F358" s="21" t="str">
        <x:v>The original languages of Saturday Night Fever are English.</x:v>
      </x:c>
      <x:c r="G358" s="2" t="str">
        <x:v>B0</x:v>
      </x:c>
      <x:c r="H358" s="2" t="str">
        <x:v>自动评审02</x:v>
      </x:c>
      <x:c r="I358" s="16" t="n">
        <x:v>2</x:v>
      </x:c>
      <x:c r="J358" s="16" t="n">
        <x:v>2</x:v>
      </x:c>
      <x:c r="K358" s="16" t="n">
        <x:v>4</x:v>
      </x:c>
      <x:c r="L358" s="16" t="n">
        <x:v>0</x:v>
      </x:c>
      <x:c r="M358" s="21" t="str">
        <x:v>Saturday Night Fever的English语言准确完整；只有一项却用languages…are稍不自然。</x:v>
      </x:c>
      <x:c r="N358" s="2" t="str">
        <x:v>gpt-6.1-sol</x:v>
      </x:c>
      <x:c r="O358" s="2" t="str">
        <x:v>ultra</x:v>
      </x:c>
      <x:c r="P358" s="16"/>
      <x:c r="Q358" s="16"/>
      <x:c r="R358" s="16"/>
      <x:c r="S358" s="16"/>
      <x:c r="T358" s="16"/>
    </x:row>
    <x:row r="359" ht="40" customHeight="1">
      <x:c r="A359" s="16" t="n">
        <x:v>77</x:v>
      </x:c>
      <x:c r="B359" s="2" t="str">
        <x:v>Q47654_P364_0</x:v>
      </x:c>
      <x:c r="C359" s="21" t="str">
        <x:v>What is the original language of Saturday Night Fever?</x:v>
      </x:c>
      <x:c r="D359" s="21" t="str">
        <x:v>The original languages of Saturday Night Fever are English. || Saturday Night Fever was originally made in English.</x:v>
      </x:c>
      <x:c r="E359" s="16" t="n">
        <x:v>2</x:v>
      </x:c>
      <x:c r="F359" s="21" t="str">
        <x:v>The original languages of Saturday Night Fever are English.</x:v>
      </x:c>
      <x:c r="G359" s="2" t="str">
        <x:v>A0</x:v>
      </x:c>
      <x:c r="H359" s="2" t="str">
        <x:v>自动评审02</x:v>
      </x:c>
      <x:c r="I359" s="16" t="n">
        <x:v>2</x:v>
      </x:c>
      <x:c r="J359" s="16" t="n">
        <x:v>2</x:v>
      </x:c>
      <x:c r="K359" s="16" t="n">
        <x:v>4</x:v>
      </x:c>
      <x:c r="L359" s="16" t="n">
        <x:v>0</x:v>
      </x:c>
      <x:c r="M359" s="21" t="str">
        <x:v>原始语言英语与参考一致，无新增语言；单复数框架略显生硬。</x:v>
      </x:c>
      <x:c r="N359" s="2" t="str">
        <x:v>gpt-6.1-sol</x:v>
      </x:c>
      <x:c r="O359" s="2" t="str">
        <x:v>ultra</x:v>
      </x:c>
      <x:c r="P359" s="16"/>
      <x:c r="Q359" s="16"/>
      <x:c r="R359" s="16"/>
      <x:c r="S359" s="16"/>
      <x:c r="T359" s="16"/>
    </x:row>
    <x:row r="360" ht="54" customHeight="1">
      <x:c r="A360" s="16" t="n">
        <x:v>78</x:v>
      </x:c>
      <x:c r="B360" s="2" t="str">
        <x:v>Q1151947_P57_2</x:v>
      </x:c>
      <x:c r="C360" s="21" t="str">
        <x:v>Name the director or directors of The Life Aquatic with Steve Zissou.</x:v>
      </x:c>
      <x:c r="D360" s="21" t="str">
        <x:v>The Life Aquatic with Steve Zissou was directed by Wes Anderson. || The director or directors of The Life Aquatic with Steve Zissou are Wes Anderson.</x:v>
      </x:c>
      <x:c r="E360" s="16" t="n">
        <x:v>1</x:v>
      </x:c>
      <x:c r="F360" s="21" t="str">
        <x:v>The Life Aquatic with Steve Zissou was directed by Wes Anderson.</x:v>
      </x:c>
      <x:c r="G360" s="2" t="str">
        <x:v>A0</x:v>
      </x:c>
      <x:c r="H360" s="2" t="str">
        <x:v>自动评审02</x:v>
      </x:c>
      <x:c r="I360" s="16" t="n">
        <x:v>2</x:v>
      </x:c>
      <x:c r="J360" s="16" t="n">
        <x:v>2</x:v>
      </x:c>
      <x:c r="K360" s="16" t="n">
        <x:v>5</x:v>
      </x:c>
      <x:c r="L360" s="16" t="n">
        <x:v>0</x:v>
      </x:c>
      <x:c r="M360" s="21" t="str">
        <x:v>Wes Anderson准确完整地回答该片导演问题，长片名未造成语法问题。</x:v>
      </x:c>
      <x:c r="N360" s="2" t="str">
        <x:v>gpt-6.1-sol</x:v>
      </x:c>
      <x:c r="O360" s="2" t="str">
        <x:v>ultra</x:v>
      </x:c>
      <x:c r="P360" s="16"/>
      <x:c r="Q360" s="16"/>
      <x:c r="R360" s="16"/>
      <x:c r="S360" s="16"/>
      <x:c r="T360" s="16"/>
    </x:row>
    <x:row r="361" ht="54" customHeight="1">
      <x:c r="A361" s="16" t="n">
        <x:v>78</x:v>
      </x:c>
      <x:c r="B361" s="2" t="str">
        <x:v>Q1151947_P57_2</x:v>
      </x:c>
      <x:c r="C361" s="21" t="str">
        <x:v>Name the director or directors of The Life Aquatic with Steve Zissou.</x:v>
      </x:c>
      <x:c r="D361" s="21" t="str">
        <x:v>The Life Aquatic with Steve Zissou was directed by Wes Anderson. || The director or directors of The Life Aquatic with Steve Zissou are Wes Anderson.</x:v>
      </x:c>
      <x:c r="E361" s="16" t="n">
        <x:v>2</x:v>
      </x:c>
      <x:c r="F361" s="21" t="str">
        <x:v>The Life Aquatic with Steve Zissou was directed by Wes Anderson.</x:v>
      </x:c>
      <x:c r="G361" s="2" t="str">
        <x:v>B0</x:v>
      </x:c>
      <x:c r="H361" s="2" t="str">
        <x:v>自动评审02</x:v>
      </x:c>
      <x:c r="I361" s="16" t="n">
        <x:v>2</x:v>
      </x:c>
      <x:c r="J361" s="16" t="n">
        <x:v>2</x:v>
      </x:c>
      <x:c r="K361" s="16" t="n">
        <x:v>5</x:v>
      </x:c>
      <x:c r="L361" s="16" t="n">
        <x:v>0</x:v>
      </x:c>
      <x:c r="M361" s="21" t="str">
        <x:v>The Life Aquatic with Steve Zissou的唯一导演与参考Wes Anderson一致，表达自然。</x:v>
      </x:c>
      <x:c r="N361" s="2" t="str">
        <x:v>gpt-6.1-sol</x:v>
      </x:c>
      <x:c r="O361" s="2" t="str">
        <x:v>ultra</x:v>
      </x:c>
      <x:c r="P361" s="16"/>
      <x:c r="Q361" s="16"/>
      <x:c r="R361" s="16"/>
      <x:c r="S361" s="16"/>
      <x:c r="T361" s="16"/>
    </x:row>
    <x:row r="362" ht="40" customHeight="1">
      <x:c r="A362" s="16" t="n">
        <x:v>79</x:v>
      </x:c>
      <x:c r="B362" s="2" t="str">
        <x:v>Q491964_P495_1</x:v>
      </x:c>
      <x:c r="C362" s="21" t="str">
        <x:v>What is the country of origin of Marrying the Mafia IV?</x:v>
      </x:c>
      <x:c r="D362" s="21" t="str">
        <x:v>Marrying the Mafia IV originated in South Korea. || The countries of origin of Marrying the Mafia IV are South Korea.</x:v>
      </x:c>
      <x:c r="E362" s="16" t="n">
        <x:v>1</x:v>
      </x:c>
      <x:c r="F362" s="21" t="str">
        <x:v>Marrying the Mafia IV originated in South Korea.</x:v>
      </x:c>
      <x:c r="G362" s="2" t="str">
        <x:v>B0</x:v>
      </x:c>
      <x:c r="H362" s="2" t="str">
        <x:v>自动评审02</x:v>
      </x:c>
      <x:c r="I362" s="16" t="n">
        <x:v>2</x:v>
      </x:c>
      <x:c r="J362" s="16" t="n">
        <x:v>2</x:v>
      </x:c>
      <x:c r="K362" s="16" t="n">
        <x:v>5</x:v>
      </x:c>
      <x:c r="L362" s="16" t="n">
        <x:v>0</x:v>
      </x:c>
      <x:c r="M362" s="21" t="str">
        <x:v>South Korea准确对应Marrying the Mafia IV的唯一产地，覆盖完整，英语通顺。</x:v>
      </x:c>
      <x:c r="N362" s="2" t="str">
        <x:v>gpt-6.1-sol</x:v>
      </x:c>
      <x:c r="O362" s="2" t="str">
        <x:v>ultra</x:v>
      </x:c>
      <x:c r="P362" s="16"/>
      <x:c r="Q362" s="16"/>
      <x:c r="R362" s="16"/>
      <x:c r="S362" s="16"/>
      <x:c r="T362" s="16"/>
    </x:row>
    <x:row r="363" ht="40" customHeight="1">
      <x:c r="A363" s="16" t="n">
        <x:v>79</x:v>
      </x:c>
      <x:c r="B363" s="2" t="str">
        <x:v>Q491964_P495_1</x:v>
      </x:c>
      <x:c r="C363" s="21" t="str">
        <x:v>What is the country of origin of Marrying the Mafia IV?</x:v>
      </x:c>
      <x:c r="D363" s="21" t="str">
        <x:v>Marrying the Mafia IV originated in South Korea. || The countries of origin of Marrying the Mafia IV are South Korea.</x:v>
      </x:c>
      <x:c r="E363" s="16" t="n">
        <x:v>2</x:v>
      </x:c>
      <x:c r="F363" s="21" t="str">
        <x:v>Marrying the Mafia IV originated in South Korea.</x:v>
      </x:c>
      <x:c r="G363" s="2" t="str">
        <x:v>A0</x:v>
      </x:c>
      <x:c r="H363" s="2" t="str">
        <x:v>自动评审02</x:v>
      </x:c>
      <x:c r="I363" s="16" t="n">
        <x:v>2</x:v>
      </x:c>
      <x:c r="J363" s="16" t="n">
        <x:v>2</x:v>
      </x:c>
      <x:c r="K363" s="16" t="n">
        <x:v>5</x:v>
      </x:c>
      <x:c r="L363" s="16" t="n">
        <x:v>0</x:v>
      </x:c>
      <x:c r="M363" s="21" t="str">
        <x:v>韩国这一参考产地已完整正确给出，未添其他国家，语句清楚。</x:v>
      </x:c>
      <x:c r="N363" s="2" t="str">
        <x:v>gpt-6.1-sol</x:v>
      </x:c>
      <x:c r="O363" s="2" t="str">
        <x:v>ultra</x:v>
      </x:c>
      <x:c r="P363" s="16"/>
      <x:c r="Q363" s="16"/>
      <x:c r="R363" s="16"/>
      <x:c r="S363" s="16"/>
      <x:c r="T363" s="16"/>
    </x:row>
    <x:row r="364" ht="40" customHeight="1">
      <x:c r="A364" s="16" t="n">
        <x:v>80</x:v>
      </x:c>
      <x:c r="B364" s="2" t="str">
        <x:v>Q849169_P136_2</x:v>
      </x:c>
      <x:c r="C364" s="21" t="str">
        <x:v>Name the genre or genres of Love in the Time of Cholera.</x:v>
      </x:c>
      <x:c r="D364" s="21" t="str">
        <x:v>Love in the Time of Cholera belongs to the following genres: drama film. || The genres of Love in the Time of Cholera are drama film.</x:v>
      </x:c>
      <x:c r="E364" s="16" t="n">
        <x:v>1</x:v>
      </x:c>
      <x:c r="F364" s="21" t="str">
        <x:v>Love in the Time of Cholera belongs to the following genres: drama film.</x:v>
      </x:c>
      <x:c r="G364" s="2" t="str">
        <x:v>A0</x:v>
      </x:c>
      <x:c r="H364" s="2" t="str">
        <x:v>自动评审02</x:v>
      </x:c>
      <x:c r="I364" s="16" t="n">
        <x:v>2</x:v>
      </x:c>
      <x:c r="J364" s="16" t="n">
        <x:v>2</x:v>
      </x:c>
      <x:c r="K364" s="16" t="n">
        <x:v>4</x:v>
      </x:c>
      <x:c r="L364" s="16" t="n">
        <x:v>0</x:v>
      </x:c>
      <x:c r="M364" s="21" t="str">
        <x:v>Love in the Time of Cholera的剧情片类型准确完整；单项类型配复数genres稍不自然。</x:v>
      </x:c>
      <x:c r="N364" s="2" t="str">
        <x:v>gpt-6.1-sol</x:v>
      </x:c>
      <x:c r="O364" s="2" t="str">
        <x:v>ultra</x:v>
      </x:c>
      <x:c r="P364" s="16"/>
      <x:c r="Q364" s="16"/>
      <x:c r="R364" s="16"/>
      <x:c r="S364" s="16"/>
      <x:c r="T364" s="16"/>
    </x:row>
    <x:row r="365" ht="40" customHeight="1">
      <x:c r="A365" s="16" t="n">
        <x:v>80</x:v>
      </x:c>
      <x:c r="B365" s="2" t="str">
        <x:v>Q849169_P136_2</x:v>
      </x:c>
      <x:c r="C365" s="21" t="str">
        <x:v>Name the genre or genres of Love in the Time of Cholera.</x:v>
      </x:c>
      <x:c r="D365" s="21" t="str">
        <x:v>Love in the Time of Cholera belongs to the following genres: drama film. || The genres of Love in the Time of Cholera are drama film.</x:v>
      </x:c>
      <x:c r="E365" s="16" t="n">
        <x:v>2</x:v>
      </x:c>
      <x:c r="F365" s="21" t="str">
        <x:v>Love in the Time of Cholera belongs to the following genres: drama film.</x:v>
      </x:c>
      <x:c r="G365" s="2" t="str">
        <x:v>B0</x:v>
      </x:c>
      <x:c r="H365" s="2" t="str">
        <x:v>自动评审02</x:v>
      </x:c>
      <x:c r="I365" s="16" t="n">
        <x:v>2</x:v>
      </x:c>
      <x:c r="J365" s="16" t="n">
        <x:v>2</x:v>
      </x:c>
      <x:c r="K365" s="16" t="n">
        <x:v>4</x:v>
      </x:c>
      <x:c r="L365" s="16" t="n">
        <x:v>0</x:v>
      </x:c>
      <x:c r="M365" s="21" t="str">
        <x:v>参考唯一类型drama film已被回答；following genres仅接一个类型，轻微影响自然度。</x:v>
      </x:c>
      <x:c r="N365" s="2" t="str">
        <x:v>gpt-6.1-sol</x:v>
      </x:c>
      <x:c r="O365" s="2" t="str">
        <x:v>ultra</x:v>
      </x:c>
      <x:c r="P365" s="16"/>
      <x:c r="Q365" s="16"/>
      <x:c r="R365" s="16"/>
      <x:c r="S365" s="16"/>
      <x:c r="T365" s="16"/>
    </x:row>
    <x:row r="366" ht="40" customHeight="1">
      <x:c r="A366" s="16" t="n">
        <x:v>81</x:v>
      </x:c>
      <x:c r="B366" s="2" t="str">
        <x:v>Q200873_P495_2</x:v>
      </x:c>
      <x:c r="C366" s="21" t="str">
        <x:v>Name the countries of origin of The Lost World: Jurassic Park.</x:v>
      </x:c>
      <x:c r="D366" s="21" t="str">
        <x:v>The Lost World: Jurassic Park originated in United States. || The countries of origin of The Lost World: Jurassic Park are United States.</x:v>
      </x:c>
      <x:c r="E366" s="16" t="n">
        <x:v>1</x:v>
      </x:c>
      <x:c r="F366" s="21" t="str">
        <x:v>The Lost World: Jurassic Park originated in United States.</x:v>
      </x:c>
      <x:c r="G366" s="2" t="str">
        <x:v>B0</x:v>
      </x:c>
      <x:c r="H366" s="2" t="str">
        <x:v>自动评审02</x:v>
      </x:c>
      <x:c r="I366" s="16" t="n">
        <x:v>2</x:v>
      </x:c>
      <x:c r="J366" s="16" t="n">
        <x:v>2</x:v>
      </x:c>
      <x:c r="K366" s="16" t="n">
        <x:v>4</x:v>
      </x:c>
      <x:c r="L366" s="16" t="n">
        <x:v>0</x:v>
      </x:c>
      <x:c r="M366" s="21" t="str">
        <x:v>The Lost World: Jurassic Park的美国产地准确完整；United States前缺少the。</x:v>
      </x:c>
      <x:c r="N366" s="2" t="str">
        <x:v>gpt-6.1-sol</x:v>
      </x:c>
      <x:c r="O366" s="2" t="str">
        <x:v>ultra</x:v>
      </x:c>
      <x:c r="P366" s="16"/>
      <x:c r="Q366" s="16"/>
      <x:c r="R366" s="16"/>
      <x:c r="S366" s="16"/>
      <x:c r="T366" s="16"/>
    </x:row>
    <x:row r="367" ht="40" customHeight="1">
      <x:c r="A367" s="16" t="n">
        <x:v>81</x:v>
      </x:c>
      <x:c r="B367" s="2" t="str">
        <x:v>Q200873_P495_2</x:v>
      </x:c>
      <x:c r="C367" s="21" t="str">
        <x:v>Name the countries of origin of The Lost World: Jurassic Park.</x:v>
      </x:c>
      <x:c r="D367" s="21" t="str">
        <x:v>The Lost World: Jurassic Park originated in United States. || The countries of origin of The Lost World: Jurassic Park are United States.</x:v>
      </x:c>
      <x:c r="E367" s="16" t="n">
        <x:v>2</x:v>
      </x:c>
      <x:c r="F367" s="21" t="str">
        <x:v>The Lost World: Jurassic Park originated in United States.</x:v>
      </x:c>
      <x:c r="G367" s="2" t="str">
        <x:v>A0</x:v>
      </x:c>
      <x:c r="H367" s="2" t="str">
        <x:v>自动评审02</x:v>
      </x:c>
      <x:c r="I367" s="16" t="n">
        <x:v>2</x:v>
      </x:c>
      <x:c r="J367" s="16" t="n">
        <x:v>2</x:v>
      </x:c>
      <x:c r="K367" s="16" t="n">
        <x:v>4</x:v>
      </x:c>
      <x:c r="L367" s="16" t="n">
        <x:v>0</x:v>
      </x:c>
      <x:c r="M367" s="21" t="str">
        <x:v>参考唯一国家美国已被正确回答，未添产地；in United States漏用定冠词。</x:v>
      </x:c>
      <x:c r="N367" s="2" t="str">
        <x:v>gpt-6.1-sol</x:v>
      </x:c>
      <x:c r="O367" s="2" t="str">
        <x:v>ultra</x:v>
      </x:c>
      <x:c r="P367" s="16"/>
      <x:c r="Q367" s="16"/>
      <x:c r="R367" s="16"/>
      <x:c r="S367" s="16"/>
      <x:c r="T367" s="16"/>
    </x:row>
    <x:row r="368" ht="40" customHeight="1">
      <x:c r="A368" s="16" t="n">
        <x:v>82</x:v>
      </x:c>
      <x:c r="B368" s="2" t="str">
        <x:v>Q490764_P364_0</x:v>
      </x:c>
      <x:c r="C368" s="21" t="str">
        <x:v>What is the original language of Five Senses of Eros?</x:v>
      </x:c>
      <x:c r="D368" s="21" t="str">
        <x:v>The original languages of Five Senses of Eros are Korean. || Five Senses of Eros was originally made in Korean.</x:v>
      </x:c>
      <x:c r="E368" s="16" t="n">
        <x:v>1</x:v>
      </x:c>
      <x:c r="F368" s="21" t="str">
        <x:v>The original languages of Five Senses of Eros are Korean.</x:v>
      </x:c>
      <x:c r="G368" s="2" t="str">
        <x:v>B0</x:v>
      </x:c>
      <x:c r="H368" s="2" t="str">
        <x:v>自动评审02</x:v>
      </x:c>
      <x:c r="I368" s="16" t="n">
        <x:v>2</x:v>
      </x:c>
      <x:c r="J368" s="16" t="n">
        <x:v>2</x:v>
      </x:c>
      <x:c r="K368" s="16" t="n">
        <x:v>4</x:v>
      </x:c>
      <x:c r="L368" s="16" t="n">
        <x:v>0</x:v>
      </x:c>
      <x:c r="M368" s="21" t="str">
        <x:v>Korean准确回答Five Senses of Eros的语言，信息完整；单一语言配复数languages稍不自然。</x:v>
      </x:c>
      <x:c r="N368" s="2" t="str">
        <x:v>gpt-6.1-sol</x:v>
      </x:c>
      <x:c r="O368" s="2" t="str">
        <x:v>ultra</x:v>
      </x:c>
      <x:c r="P368" s="16"/>
      <x:c r="Q368" s="16"/>
      <x:c r="R368" s="16"/>
      <x:c r="S368" s="16"/>
      <x:c r="T368" s="16"/>
    </x:row>
    <x:row r="369" ht="40" customHeight="1">
      <x:c r="A369" s="16" t="n">
        <x:v>82</x:v>
      </x:c>
      <x:c r="B369" s="2" t="str">
        <x:v>Q490764_P364_0</x:v>
      </x:c>
      <x:c r="C369" s="21" t="str">
        <x:v>What is the original language of Five Senses of Eros?</x:v>
      </x:c>
      <x:c r="D369" s="21" t="str">
        <x:v>The original languages of Five Senses of Eros are Korean. || Five Senses of Eros was originally made in Korean.</x:v>
      </x:c>
      <x:c r="E369" s="16" t="n">
        <x:v>2</x:v>
      </x:c>
      <x:c r="F369" s="21" t="str">
        <x:v>The original languages of Five Senses of Eros are Korean.</x:v>
      </x:c>
      <x:c r="G369" s="2" t="str">
        <x:v>A0</x:v>
      </x:c>
      <x:c r="H369" s="2" t="str">
        <x:v>自动评审02</x:v>
      </x:c>
      <x:c r="I369" s="16" t="n">
        <x:v>2</x:v>
      </x:c>
      <x:c r="J369" s="16" t="n">
        <x:v>2</x:v>
      </x:c>
      <x:c r="K369" s="16" t="n">
        <x:v>4</x:v>
      </x:c>
      <x:c r="L369" s="16" t="n">
        <x:v>0</x:v>
      </x:c>
      <x:c r="M369" s="21" t="str">
        <x:v>韩语这一唯一参考语言已给出，无额外语言；languages…are用于一项略显生硬。</x:v>
      </x:c>
      <x:c r="N369" s="2" t="str">
        <x:v>gpt-6.1-sol</x:v>
      </x:c>
      <x:c r="O369" s="2" t="str">
        <x:v>ultra</x:v>
      </x:c>
      <x:c r="P369" s="16"/>
      <x:c r="Q369" s="16"/>
      <x:c r="R369" s="16"/>
      <x:c r="S369" s="16"/>
      <x:c r="T369" s="16"/>
    </x:row>
    <x:row r="370" ht="40" customHeight="1">
      <x:c r="A370" s="16" t="n">
        <x:v>83</x:v>
      </x:c>
      <x:c r="B370" s="2" t="str">
        <x:v>Q112252419_P57_1</x:v>
      </x:c>
      <x:c r="C370" s="21" t="str">
        <x:v>Who was the director of Society of the Snow?</x:v>
      </x:c>
      <x:c r="D370" s="21" t="str">
        <x:v>Society of the Snow was directed by J. A. Bayona. || The director or directors of Society of the Snow are J. A. Bayona.</x:v>
      </x:c>
      <x:c r="E370" s="16" t="n">
        <x:v>1</x:v>
      </x:c>
      <x:c r="F370" s="21" t="str">
        <x:v>Society of the Snow was directed by J. A. Bayona.</x:v>
      </x:c>
      <x:c r="G370" s="2" t="str">
        <x:v>A0</x:v>
      </x:c>
      <x:c r="H370" s="2" t="str">
        <x:v>自动评审02</x:v>
      </x:c>
      <x:c r="I370" s="16" t="n">
        <x:v>2</x:v>
      </x:c>
      <x:c r="J370" s="16" t="n">
        <x:v>2</x:v>
      </x:c>
      <x:c r="K370" s="16" t="n">
        <x:v>5</x:v>
      </x:c>
      <x:c r="L370" s="16" t="n">
        <x:v>0</x:v>
      </x:c>
      <x:c r="M370" s="21" t="str">
        <x:v>J. A. Bayona姓名及执导Society of the Snow的关系与参考一致，完整流畅。</x:v>
      </x:c>
      <x:c r="N370" s="2" t="str">
        <x:v>gpt-6.1-sol</x:v>
      </x:c>
      <x:c r="O370" s="2" t="str">
        <x:v>ultra</x:v>
      </x:c>
      <x:c r="P370" s="16"/>
      <x:c r="Q370" s="16"/>
      <x:c r="R370" s="16"/>
      <x:c r="S370" s="16"/>
      <x:c r="T370" s="16"/>
    </x:row>
    <x:row r="371" ht="40" customHeight="1">
      <x:c r="A371" s="16" t="n">
        <x:v>83</x:v>
      </x:c>
      <x:c r="B371" s="2" t="str">
        <x:v>Q112252419_P57_1</x:v>
      </x:c>
      <x:c r="C371" s="21" t="str">
        <x:v>Who was the director of Society of the Snow?</x:v>
      </x:c>
      <x:c r="D371" s="21" t="str">
        <x:v>Society of the Snow was directed by J. A. Bayona. || The director or directors of Society of the Snow are J. A. Bayona.</x:v>
      </x:c>
      <x:c r="E371" s="16" t="n">
        <x:v>2</x:v>
      </x:c>
      <x:c r="F371" s="21" t="str">
        <x:v>Society of the Snow was directed by J. A. Bayona.</x:v>
      </x:c>
      <x:c r="G371" s="2" t="str">
        <x:v>B0</x:v>
      </x:c>
      <x:c r="H371" s="2" t="str">
        <x:v>自动评审02</x:v>
      </x:c>
      <x:c r="I371" s="16" t="n">
        <x:v>2</x:v>
      </x:c>
      <x:c r="J371" s="16" t="n">
        <x:v>2</x:v>
      </x:c>
      <x:c r="K371" s="16" t="n">
        <x:v>5</x:v>
      </x:c>
      <x:c r="L371" s="16" t="n">
        <x:v>0</x:v>
      </x:c>
      <x:c r="M371" s="21" t="str">
        <x:v>参考唯一导演J. A. Bayona准确列明，姓名缩写正常，语句自然。</x:v>
      </x:c>
      <x:c r="N371" s="2" t="str">
        <x:v>gpt-6.1-sol</x:v>
      </x:c>
      <x:c r="O371" s="2" t="str">
        <x:v>ultra</x:v>
      </x:c>
      <x:c r="P371" s="16"/>
      <x:c r="Q371" s="16"/>
      <x:c r="R371" s="16"/>
      <x:c r="S371" s="16"/>
      <x:c r="T371" s="16"/>
    </x:row>
    <x:row r="372" ht="40" customHeight="1">
      <x:c r="A372" s="16" t="n">
        <x:v>84</x:v>
      </x:c>
      <x:c r="B372" s="2" t="str">
        <x:v>Q1741232_P364_1</x:v>
      </x:c>
      <x:c r="C372" s="21" t="str">
        <x:v>Which languages was Mission: Impossible originally made in?</x:v>
      </x:c>
      <x:c r="D372" s="21" t="str">
        <x:v>The original languages of Mission: Impossible are English. || Mission: Impossible was originally made in English.</x:v>
      </x:c>
      <x:c r="E372" s="16" t="n">
        <x:v>1</x:v>
      </x:c>
      <x:c r="F372" s="21" t="str">
        <x:v>The original languages of Mission: Impossible are English.</x:v>
      </x:c>
      <x:c r="G372" s="2" t="str">
        <x:v>A0</x:v>
      </x:c>
      <x:c r="H372" s="2" t="str">
        <x:v>自动评审02</x:v>
      </x:c>
      <x:c r="I372" s="16" t="n">
        <x:v>2</x:v>
      </x:c>
      <x:c r="J372" s="16" t="n">
        <x:v>2</x:v>
      </x:c>
      <x:c r="K372" s="16" t="n">
        <x:v>4</x:v>
      </x:c>
      <x:c r="L372" s="16" t="n">
        <x:v>0</x:v>
      </x:c>
      <x:c r="M372" s="21" t="str">
        <x:v>Mission: Impossible的英语语言信息准确完整；单一语言用复数languages…are稍不自然。</x:v>
      </x:c>
      <x:c r="N372" s="2" t="str">
        <x:v>gpt-6.1-sol</x:v>
      </x:c>
      <x:c r="O372" s="2" t="str">
        <x:v>ultra</x:v>
      </x:c>
      <x:c r="P372" s="16"/>
      <x:c r="Q372" s="16"/>
      <x:c r="R372" s="16"/>
      <x:c r="S372" s="16"/>
      <x:c r="T372" s="16"/>
    </x:row>
    <x:row r="373" ht="40" customHeight="1">
      <x:c r="A373" s="16" t="n">
        <x:v>84</x:v>
      </x:c>
      <x:c r="B373" s="2" t="str">
        <x:v>Q1741232_P364_1</x:v>
      </x:c>
      <x:c r="C373" s="21" t="str">
        <x:v>Which languages was Mission: Impossible originally made in?</x:v>
      </x:c>
      <x:c r="D373" s="21" t="str">
        <x:v>The original languages of Mission: Impossible are English. || Mission: Impossible was originally made in English.</x:v>
      </x:c>
      <x:c r="E373" s="16" t="n">
        <x:v>2</x:v>
      </x:c>
      <x:c r="F373" s="21" t="str">
        <x:v>The original languages of Mission: Impossible are English.</x:v>
      </x:c>
      <x:c r="G373" s="2" t="str">
        <x:v>B0</x:v>
      </x:c>
      <x:c r="H373" s="2" t="str">
        <x:v>自动评审02</x:v>
      </x:c>
      <x:c r="I373" s="16" t="n">
        <x:v>2</x:v>
      </x:c>
      <x:c r="J373" s="16" t="n">
        <x:v>2</x:v>
      </x:c>
      <x:c r="K373" s="16" t="n">
        <x:v>4</x:v>
      </x:c>
      <x:c r="L373" s="16" t="n">
        <x:v>0</x:v>
      </x:c>
      <x:c r="M373" s="21" t="str">
        <x:v>English覆盖参考全部语言，未添加其他语言；复数语言框架与单项略不协调。</x:v>
      </x:c>
      <x:c r="N373" s="2" t="str">
        <x:v>gpt-6.1-sol</x:v>
      </x:c>
      <x:c r="O373" s="2" t="str">
        <x:v>ultra</x:v>
      </x:c>
      <x:c r="P373" s="16"/>
      <x:c r="Q373" s="16"/>
      <x:c r="R373" s="16"/>
      <x:c r="S373" s="16"/>
      <x:c r="T373" s="16"/>
    </x:row>
    <x:row r="374" ht="40" customHeight="1">
      <x:c r="A374" s="16" t="n">
        <x:v>85</x:v>
      </x:c>
      <x:c r="B374" s="2" t="str">
        <x:v>Q673195_P495_0</x:v>
      </x:c>
      <x:c r="C374" s="21" t="str">
        <x:v>Which country did Solaris (2002) originate in?</x:v>
      </x:c>
      <x:c r="D374" s="21" t="str">
        <x:v>Solaris originated in United States. || The countries of origin of Solaris are United States.</x:v>
      </x:c>
      <x:c r="E374" s="16" t="n">
        <x:v>1</x:v>
      </x:c>
      <x:c r="F374" s="21" t="str">
        <x:v>Solaris originated in United States.</x:v>
      </x:c>
      <x:c r="G374" s="2" t="str">
        <x:v>B0</x:v>
      </x:c>
      <x:c r="H374" s="2" t="str">
        <x:v>自动评审02</x:v>
      </x:c>
      <x:c r="I374" s="16" t="n">
        <x:v>2</x:v>
      </x:c>
      <x:c r="J374" s="16" t="n">
        <x:v>2</x:v>
      </x:c>
      <x:c r="K374" s="16" t="n">
        <x:v>4</x:v>
      </x:c>
      <x:c r="L374" s="16" t="n">
        <x:v>0</x:v>
      </x:c>
      <x:c r="M374" s="21" t="str">
        <x:v>本题Solaris (2002)的美国产地与参考一致且完整；United States前漏the。</x:v>
      </x:c>
      <x:c r="N374" s="2" t="str">
        <x:v>gpt-6.1-sol</x:v>
      </x:c>
      <x:c r="O374" s="2" t="str">
        <x:v>ultra</x:v>
      </x:c>
      <x:c r="P374" s="16"/>
      <x:c r="Q374" s="16"/>
      <x:c r="R374" s="16"/>
      <x:c r="S374" s="16"/>
      <x:c r="T374" s="16"/>
    </x:row>
    <x:row r="375" ht="40" customHeight="1">
      <x:c r="A375" s="16" t="n">
        <x:v>85</x:v>
      </x:c>
      <x:c r="B375" s="2" t="str">
        <x:v>Q673195_P495_0</x:v>
      </x:c>
      <x:c r="C375" s="21" t="str">
        <x:v>Which country did Solaris (2002) originate in?</x:v>
      </x:c>
      <x:c r="D375" s="21" t="str">
        <x:v>Solaris originated in United States. || The countries of origin of Solaris are United States.</x:v>
      </x:c>
      <x:c r="E375" s="16" t="n">
        <x:v>2</x:v>
      </x:c>
      <x:c r="F375" s="21" t="str">
        <x:v>Solaris originated in United States.</x:v>
      </x:c>
      <x:c r="G375" s="2" t="str">
        <x:v>A0</x:v>
      </x:c>
      <x:c r="H375" s="2" t="str">
        <x:v>自动评审02</x:v>
      </x:c>
      <x:c r="I375" s="16" t="n">
        <x:v>2</x:v>
      </x:c>
      <x:c r="J375" s="16" t="n">
        <x:v>2</x:v>
      </x:c>
      <x:c r="K375" s="16" t="n">
        <x:v>4</x:v>
      </x:c>
      <x:c r="L375" s="16" t="n">
        <x:v>0</x:v>
      </x:c>
      <x:c r="M375" s="21" t="str">
        <x:v>美国这一唯一参考国家已回答，未重复年份不影响本题指向；缺少定冠词。</x:v>
      </x:c>
      <x:c r="N375" s="2" t="str">
        <x:v>gpt-6.1-sol</x:v>
      </x:c>
      <x:c r="O375" s="2" t="str">
        <x:v>ultra</x:v>
      </x:c>
      <x:c r="P375" s="16"/>
      <x:c r="Q375" s="16"/>
      <x:c r="R375" s="16"/>
      <x:c r="S375" s="16"/>
      <x:c r="T375" s="16"/>
    </x:row>
    <x:row r="376" ht="54" customHeight="1">
      <x:c r="A376" s="16" t="n">
        <x:v>86</x:v>
      </x:c>
      <x:c r="B376" s="2" t="str">
        <x:v>Q388319_P136_2</x:v>
      </x:c>
      <x:c r="C376" s="21" t="str">
        <x:v>Name the genre or genres of Star Trek: Nemesis.</x:v>
      </x:c>
      <x:c r="D376" s="21" t="str">
        <x:v>Star Trek: Nemesis belongs to the following genres: action film, adventure film and science fiction film. || The genres of Star Trek: Nemesis are action film, adventure film and science fiction film.</x:v>
      </x:c>
      <x:c r="E376" s="16" t="n">
        <x:v>1</x:v>
      </x:c>
      <x:c r="F376" s="21" t="str">
        <x:v>Star Trek: Nemesis belongs to the following genres: action film, adventure film and science fiction film.</x:v>
      </x:c>
      <x:c r="G376" s="2" t="str">
        <x:v>A0</x:v>
      </x:c>
      <x:c r="H376" s="2" t="str">
        <x:v>自动评审02</x:v>
      </x:c>
      <x:c r="I376" s="16" t="n">
        <x:v>2</x:v>
      </x:c>
      <x:c r="J376" s="16" t="n">
        <x:v>2</x:v>
      </x:c>
      <x:c r="K376" s="16" t="n">
        <x:v>5</x:v>
      </x:c>
      <x:c r="L376" s="16" t="n">
        <x:v>0</x:v>
      </x:c>
      <x:c r="M376" s="21" t="str">
        <x:v>动作片、冒险片、科幻片三种类型均正确完整，类型列举清楚自然。</x:v>
      </x:c>
      <x:c r="N376" s="2" t="str">
        <x:v>gpt-6.1-sol</x:v>
      </x:c>
      <x:c r="O376" s="2" t="str">
        <x:v>ultra</x:v>
      </x:c>
      <x:c r="P376" s="16"/>
      <x:c r="Q376" s="16"/>
      <x:c r="R376" s="16"/>
      <x:c r="S376" s="16"/>
      <x:c r="T376" s="16"/>
    </x:row>
    <x:row r="377" ht="54" customHeight="1">
      <x:c r="A377" s="16" t="n">
        <x:v>86</x:v>
      </x:c>
      <x:c r="B377" s="2" t="str">
        <x:v>Q388319_P136_2</x:v>
      </x:c>
      <x:c r="C377" s="21" t="str">
        <x:v>Name the genre or genres of Star Trek: Nemesis.</x:v>
      </x:c>
      <x:c r="D377" s="21" t="str">
        <x:v>Star Trek: Nemesis belongs to the following genres: action film, adventure film and science fiction film. || The genres of Star Trek: Nemesis are action film, adventure film and science fiction film.</x:v>
      </x:c>
      <x:c r="E377" s="16" t="n">
        <x:v>2</x:v>
      </x:c>
      <x:c r="F377" s="21" t="str">
        <x:v>Star Trek: Nemesis belongs to the following genres: action film, adventure film and science fiction film.</x:v>
      </x:c>
      <x:c r="G377" s="2" t="str">
        <x:v>B0</x:v>
      </x:c>
      <x:c r="H377" s="2" t="str">
        <x:v>自动评审02</x:v>
      </x:c>
      <x:c r="I377" s="16" t="n">
        <x:v>2</x:v>
      </x:c>
      <x:c r="J377" s="16" t="n">
        <x:v>2</x:v>
      </x:c>
      <x:c r="K377" s="16" t="n">
        <x:v>5</x:v>
      </x:c>
      <x:c r="L377" s="16" t="n">
        <x:v>0</x:v>
      </x:c>
      <x:c r="M377" s="21" t="str">
        <x:v>Star Trek: Nemesis的三个参考类型全部给出，无额外断言，英语流畅。</x:v>
      </x:c>
      <x:c r="N377" s="2" t="str">
        <x:v>gpt-6.1-sol</x:v>
      </x:c>
      <x:c r="O377" s="2" t="str">
        <x:v>ultra</x:v>
      </x:c>
      <x:c r="P377" s="16"/>
      <x:c r="Q377" s="16"/>
      <x:c r="R377" s="16"/>
      <x:c r="S377" s="16"/>
      <x:c r="T377" s="16"/>
    </x:row>
    <x:row r="378" ht="40" customHeight="1">
      <x:c r="A378" s="16" t="n">
        <x:v>87</x:v>
      </x:c>
      <x:c r="B378" s="2" t="str">
        <x:v>Q25461297_P57_0</x:v>
      </x:c>
      <x:c r="C378" s="21" t="str">
        <x:v>Who directed The Predator?</x:v>
      </x:c>
      <x:c r="D378" s="21" t="str">
        <x:v>The Predator was directed by Shane Black. || The director or directors of The Predator are Shane Black.</x:v>
      </x:c>
      <x:c r="E378" s="16" t="n">
        <x:v>1</x:v>
      </x:c>
      <x:c r="F378" s="21" t="str">
        <x:v>The Predator was directed by Shane Black.</x:v>
      </x:c>
      <x:c r="G378" s="2" t="str">
        <x:v>A0</x:v>
      </x:c>
      <x:c r="H378" s="2" t="str">
        <x:v>自动评审02</x:v>
      </x:c>
      <x:c r="I378" s="16" t="n">
        <x:v>2</x:v>
      </x:c>
      <x:c r="J378" s="16" t="n">
        <x:v>2</x:v>
      </x:c>
      <x:c r="K378" s="16" t="n">
        <x:v>5</x:v>
      </x:c>
      <x:c r="L378" s="16" t="n">
        <x:v>0</x:v>
      </x:c>
      <x:c r="M378" s="21" t="str">
        <x:v>Shane Black与参考导演一致，The Predator执导关系完整，句子自然。</x:v>
      </x:c>
      <x:c r="N378" s="2" t="str">
        <x:v>gpt-6.1-sol</x:v>
      </x:c>
      <x:c r="O378" s="2" t="str">
        <x:v>ultra</x:v>
      </x:c>
      <x:c r="P378" s="16"/>
      <x:c r="Q378" s="16"/>
      <x:c r="R378" s="16"/>
      <x:c r="S378" s="16"/>
      <x:c r="T378" s="16"/>
    </x:row>
    <x:row r="379" ht="40" customHeight="1">
      <x:c r="A379" s="16" t="n">
        <x:v>87</x:v>
      </x:c>
      <x:c r="B379" s="2" t="str">
        <x:v>Q25461297_P57_0</x:v>
      </x:c>
      <x:c r="C379" s="21" t="str">
        <x:v>Who directed The Predator?</x:v>
      </x:c>
      <x:c r="D379" s="21" t="str">
        <x:v>The Predator was directed by Shane Black. || The director or directors of The Predator are Shane Black.</x:v>
      </x:c>
      <x:c r="E379" s="16" t="n">
        <x:v>2</x:v>
      </x:c>
      <x:c r="F379" s="21" t="str">
        <x:v>The Predator was directed by Shane Black.</x:v>
      </x:c>
      <x:c r="G379" s="2" t="str">
        <x:v>B0</x:v>
      </x:c>
      <x:c r="H379" s="2" t="str">
        <x:v>自动评审02</x:v>
      </x:c>
      <x:c r="I379" s="16" t="n">
        <x:v>2</x:v>
      </x:c>
      <x:c r="J379" s="16" t="n">
        <x:v>2</x:v>
      </x:c>
      <x:c r="K379" s="16" t="n">
        <x:v>5</x:v>
      </x:c>
      <x:c r="L379" s="16" t="n">
        <x:v>0</x:v>
      </x:c>
      <x:c r="M379" s="21" t="str">
        <x:v>导演Shane Black准确回答所问，未遗漏或扩展导演信息，表达清晰。</x:v>
      </x:c>
      <x:c r="N379" s="2" t="str">
        <x:v>gpt-6.1-sol</x:v>
      </x:c>
      <x:c r="O379" s="2" t="str">
        <x:v>ultra</x:v>
      </x:c>
      <x:c r="P379" s="16"/>
      <x:c r="Q379" s="16"/>
      <x:c r="R379" s="16"/>
      <x:c r="S379" s="16"/>
      <x:c r="T379" s="16"/>
    </x:row>
    <x:row r="380" ht="40" customHeight="1">
      <x:c r="A380" s="16" t="n">
        <x:v>88</x:v>
      </x:c>
      <x:c r="B380" s="2" t="str">
        <x:v>Q159063_P57_2</x:v>
      </x:c>
      <x:c r="C380" s="21" t="str">
        <x:v>Name the director or directors of The Reader.</x:v>
      </x:c>
      <x:c r="D380" s="21" t="str">
        <x:v>The Reader was directed by Stephen Daldry. || The director or directors of The Reader are Stephen Daldry.</x:v>
      </x:c>
      <x:c r="E380" s="16" t="n">
        <x:v>1</x:v>
      </x:c>
      <x:c r="F380" s="21" t="str">
        <x:v>The Reader was directed by Stephen Daldry.</x:v>
      </x:c>
      <x:c r="G380" s="2" t="str">
        <x:v>B0</x:v>
      </x:c>
      <x:c r="H380" s="2" t="str">
        <x:v>自动评审02</x:v>
      </x:c>
      <x:c r="I380" s="16" t="n">
        <x:v>2</x:v>
      </x:c>
      <x:c r="J380" s="16" t="n">
        <x:v>2</x:v>
      </x:c>
      <x:c r="K380" s="16" t="n">
        <x:v>5</x:v>
      </x:c>
      <x:c r="L380" s="16" t="n">
        <x:v>0</x:v>
      </x:c>
      <x:c r="M380" s="21" t="str">
        <x:v>Stephen Daldry是参考唯一导演，已准确完整地对应The Reader，语法自然。</x:v>
      </x:c>
      <x:c r="N380" s="2" t="str">
        <x:v>gpt-6.1-sol</x:v>
      </x:c>
      <x:c r="O380" s="2" t="str">
        <x:v>ultra</x:v>
      </x:c>
      <x:c r="P380" s="16"/>
      <x:c r="Q380" s="16"/>
      <x:c r="R380" s="16"/>
      <x:c r="S380" s="16"/>
      <x:c r="T380" s="16"/>
    </x:row>
    <x:row r="381" ht="40" customHeight="1">
      <x:c r="A381" s="16" t="n">
        <x:v>88</x:v>
      </x:c>
      <x:c r="B381" s="2" t="str">
        <x:v>Q159063_P57_2</x:v>
      </x:c>
      <x:c r="C381" s="21" t="str">
        <x:v>Name the director or directors of The Reader.</x:v>
      </x:c>
      <x:c r="D381" s="21" t="str">
        <x:v>The Reader was directed by Stephen Daldry. || The director or directors of The Reader are Stephen Daldry.</x:v>
      </x:c>
      <x:c r="E381" s="16" t="n">
        <x:v>2</x:v>
      </x:c>
      <x:c r="F381" s="21" t="str">
        <x:v>The Reader was directed by Stephen Daldry.</x:v>
      </x:c>
      <x:c r="G381" s="2" t="str">
        <x:v>A0</x:v>
      </x:c>
      <x:c r="H381" s="2" t="str">
        <x:v>自动评审02</x:v>
      </x:c>
      <x:c r="I381" s="16" t="n">
        <x:v>2</x:v>
      </x:c>
      <x:c r="J381" s="16" t="n">
        <x:v>2</x:v>
      </x:c>
      <x:c r="K381" s="16" t="n">
        <x:v>5</x:v>
      </x:c>
      <x:c r="L381" s="16" t="n">
        <x:v>0</x:v>
      </x:c>
      <x:c r="M381" s="21" t="str">
        <x:v>The Reader由Stephen Daldry执导的信息与参考一致，句子完整顺畅。</x:v>
      </x:c>
      <x:c r="N381" s="2" t="str">
        <x:v>gpt-6.1-sol</x:v>
      </x:c>
      <x:c r="O381" s="2" t="str">
        <x:v>ultra</x:v>
      </x:c>
      <x:c r="P381" s="16"/>
      <x:c r="Q381" s="16"/>
      <x:c r="R381" s="16"/>
      <x:c r="S381" s="16"/>
      <x:c r="T381" s="16"/>
    </x:row>
    <x:row r="382" ht="54" customHeight="1">
      <x:c r="A382" s="16" t="n">
        <x:v>89</x:v>
      </x:c>
      <x:c r="B382" s="2" t="str">
        <x:v>Q1215857_P136_2</x:v>
      </x:c>
      <x:c r="C382" s="21" t="str">
        <x:v>Name the genre or genres of The Russians Are Coming, the Russians Are Coming.</x:v>
      </x:c>
      <x:c r="D382" s="21" t="str">
        <x:v>The Russians Are Coming, the Russians Are Coming belongs to the following genres: comedy film. || The genres of The Russians Are Coming, the Russians Are Coming are comedy film.</x:v>
      </x:c>
      <x:c r="E382" s="16" t="n">
        <x:v>1</x:v>
      </x:c>
      <x:c r="F382" s="21" t="str">
        <x:v>The Russians Are Coming, the Russians Are Coming belongs to the following genres: comedy film.</x:v>
      </x:c>
      <x:c r="G382" s="2" t="str">
        <x:v>B0</x:v>
      </x:c>
      <x:c r="H382" s="2" t="str">
        <x:v>自动评审02</x:v>
      </x:c>
      <x:c r="I382" s="16" t="n">
        <x:v>2</x:v>
      </x:c>
      <x:c r="J382" s="16" t="n">
        <x:v>2</x:v>
      </x:c>
      <x:c r="K382" s="16" t="n">
        <x:v>4</x:v>
      </x:c>
      <x:c r="L382" s="16" t="n">
        <x:v>0</x:v>
      </x:c>
      <x:c r="M382" s="21" t="str">
        <x:v>喜剧片这一唯一类型完整准确；单项类别配复数genres稍不自然，长片名自身不扣分。</x:v>
      </x:c>
      <x:c r="N382" s="2" t="str">
        <x:v>gpt-6.1-sol</x:v>
      </x:c>
      <x:c r="O382" s="2" t="str">
        <x:v>ultra</x:v>
      </x:c>
      <x:c r="P382" s="16"/>
      <x:c r="Q382" s="16"/>
      <x:c r="R382" s="16"/>
      <x:c r="S382" s="16"/>
      <x:c r="T382" s="16"/>
    </x:row>
    <x:row r="383" ht="54" customHeight="1">
      <x:c r="A383" s="16" t="n">
        <x:v>89</x:v>
      </x:c>
      <x:c r="B383" s="2" t="str">
        <x:v>Q1215857_P136_2</x:v>
      </x:c>
      <x:c r="C383" s="21" t="str">
        <x:v>Name the genre or genres of The Russians Are Coming, the Russians Are Coming.</x:v>
      </x:c>
      <x:c r="D383" s="21" t="str">
        <x:v>The Russians Are Coming, the Russians Are Coming belongs to the following genres: comedy film. || The genres of The Russians Are Coming, the Russians Are Coming are comedy film.</x:v>
      </x:c>
      <x:c r="E383" s="16" t="n">
        <x:v>2</x:v>
      </x:c>
      <x:c r="F383" s="21" t="str">
        <x:v>The Russians Are Coming, the Russians Are Coming belongs to the following genres: comedy film.</x:v>
      </x:c>
      <x:c r="G383" s="2" t="str">
        <x:v>A0</x:v>
      </x:c>
      <x:c r="H383" s="2" t="str">
        <x:v>自动评审02</x:v>
      </x:c>
      <x:c r="I383" s="16" t="n">
        <x:v>2</x:v>
      </x:c>
      <x:c r="J383" s="16" t="n">
        <x:v>2</x:v>
      </x:c>
      <x:c r="K383" s="16" t="n">
        <x:v>4</x:v>
      </x:c>
      <x:c r="L383" s="16" t="n">
        <x:v>0</x:v>
      </x:c>
      <x:c r="M383" s="21" t="str">
        <x:v>该片comedy film类型与参考一致；following genres用于一个类型，轻微影响自然度。</x:v>
      </x:c>
      <x:c r="N383" s="2" t="str">
        <x:v>gpt-6.1-sol</x:v>
      </x:c>
      <x:c r="O383" s="2" t="str">
        <x:v>ultra</x:v>
      </x:c>
      <x:c r="P383" s="16"/>
      <x:c r="Q383" s="16"/>
      <x:c r="R383" s="16"/>
      <x:c r="S383" s="16"/>
      <x:c r="T383" s="16"/>
    </x:row>
    <x:row r="384" ht="40" customHeight="1">
      <x:c r="A384" s="16" t="n">
        <x:v>90</x:v>
      </x:c>
      <x:c r="B384" s="2" t="str">
        <x:v>Q1064885_P495_2</x:v>
      </x:c>
      <x:c r="C384" s="21" t="str">
        <x:v>Name the countries of origin of Dolphin Tale.</x:v>
      </x:c>
      <x:c r="D384" s="21" t="str">
        <x:v>Dolphin Tale originated in United States. || The countries of origin of Dolphin Tale are United States.</x:v>
      </x:c>
      <x:c r="E384" s="16" t="n">
        <x:v>1</x:v>
      </x:c>
      <x:c r="F384" s="21" t="str">
        <x:v>Dolphin Tale originated in United States.</x:v>
      </x:c>
      <x:c r="G384" s="2" t="str">
        <x:v>A0</x:v>
      </x:c>
      <x:c r="H384" s="2" t="str">
        <x:v>自动评审02</x:v>
      </x:c>
      <x:c r="I384" s="16" t="n">
        <x:v>2</x:v>
      </x:c>
      <x:c r="J384" s="16" t="n">
        <x:v>2</x:v>
      </x:c>
      <x:c r="K384" s="16" t="n">
        <x:v>4</x:v>
      </x:c>
      <x:c r="L384" s="16" t="n">
        <x:v>0</x:v>
      </x:c>
      <x:c r="M384" s="21" t="str">
        <x:v>Dolphin Tale的美国来源准确完整；United States前应加the。</x:v>
      </x:c>
      <x:c r="N384" s="2" t="str">
        <x:v>gpt-6.1-sol</x:v>
      </x:c>
      <x:c r="O384" s="2" t="str">
        <x:v>ultra</x:v>
      </x:c>
      <x:c r="P384" s="16"/>
      <x:c r="Q384" s="16"/>
      <x:c r="R384" s="16"/>
      <x:c r="S384" s="16"/>
      <x:c r="T384" s="16"/>
    </x:row>
    <x:row r="385" ht="40" customHeight="1">
      <x:c r="A385" s="16" t="n">
        <x:v>90</x:v>
      </x:c>
      <x:c r="B385" s="2" t="str">
        <x:v>Q1064885_P495_2</x:v>
      </x:c>
      <x:c r="C385" s="21" t="str">
        <x:v>Name the countries of origin of Dolphin Tale.</x:v>
      </x:c>
      <x:c r="D385" s="21" t="str">
        <x:v>Dolphin Tale originated in United States. || The countries of origin of Dolphin Tale are United States.</x:v>
      </x:c>
      <x:c r="E385" s="16" t="n">
        <x:v>2</x:v>
      </x:c>
      <x:c r="F385" s="21" t="str">
        <x:v>Dolphin Tale originated in United States.</x:v>
      </x:c>
      <x:c r="G385" s="2" t="str">
        <x:v>B0</x:v>
      </x:c>
      <x:c r="H385" s="2" t="str">
        <x:v>自动评审02</x:v>
      </x:c>
      <x:c r="I385" s="16" t="n">
        <x:v>2</x:v>
      </x:c>
      <x:c r="J385" s="16" t="n">
        <x:v>2</x:v>
      </x:c>
      <x:c r="K385" s="16" t="n">
        <x:v>4</x:v>
      </x:c>
      <x:c r="L385" s="16" t="n">
        <x:v>0</x:v>
      </x:c>
      <x:c r="M385" s="21" t="str">
        <x:v>美国是参考唯一产地，已清楚给出；国家名前漏用定冠词。</x:v>
      </x:c>
      <x:c r="N385" s="2" t="str">
        <x:v>gpt-6.1-sol</x:v>
      </x:c>
      <x:c r="O385" s="2" t="str">
        <x:v>ultra</x:v>
      </x:c>
      <x:c r="P385" s="16"/>
      <x:c r="Q385" s="16"/>
      <x:c r="R385" s="16"/>
      <x:c r="S385" s="16"/>
      <x:c r="T385" s="16"/>
    </x:row>
    <x:row r="386" ht="40" customHeight="1">
      <x:c r="A386" s="16" t="n">
        <x:v>91</x:v>
      </x:c>
      <x:c r="B386" s="2" t="str">
        <x:v>Q669749_P364_2</x:v>
      </x:c>
      <x:c r="C386" s="21" t="str">
        <x:v>Name the original language or languages of The Song of Bernadette.</x:v>
      </x:c>
      <x:c r="D386" s="21" t="str">
        <x:v>The original languages of The Song of Bernadette are English. || The Song of Bernadette was originally made in English.</x:v>
      </x:c>
      <x:c r="E386" s="16" t="n">
        <x:v>1</x:v>
      </x:c>
      <x:c r="F386" s="21" t="str">
        <x:v>The original languages of The Song of Bernadette are English.</x:v>
      </x:c>
      <x:c r="G386" s="2" t="str">
        <x:v>A0</x:v>
      </x:c>
      <x:c r="H386" s="2" t="str">
        <x:v>自动评审02</x:v>
      </x:c>
      <x:c r="I386" s="16" t="n">
        <x:v>2</x:v>
      </x:c>
      <x:c r="J386" s="16" t="n">
        <x:v>2</x:v>
      </x:c>
      <x:c r="K386" s="16" t="n">
        <x:v>4</x:v>
      </x:c>
      <x:c r="L386" s="16" t="n">
        <x:v>0</x:v>
      </x:c>
      <x:c r="M386" s="21" t="str">
        <x:v>The Song of Bernadette的English信息完整准确；单一语言使用复数languages稍不自然。</x:v>
      </x:c>
      <x:c r="N386" s="2" t="str">
        <x:v>gpt-6.1-sol</x:v>
      </x:c>
      <x:c r="O386" s="2" t="str">
        <x:v>ultra</x:v>
      </x:c>
      <x:c r="P386" s="16"/>
      <x:c r="Q386" s="16"/>
      <x:c r="R386" s="16"/>
      <x:c r="S386" s="16"/>
      <x:c r="T386" s="16"/>
    </x:row>
    <x:row r="387" ht="40" customHeight="1">
      <x:c r="A387" s="16" t="n">
        <x:v>91</x:v>
      </x:c>
      <x:c r="B387" s="2" t="str">
        <x:v>Q669749_P364_2</x:v>
      </x:c>
      <x:c r="C387" s="21" t="str">
        <x:v>Name the original language or languages of The Song of Bernadette.</x:v>
      </x:c>
      <x:c r="D387" s="21" t="str">
        <x:v>The original languages of The Song of Bernadette are English. || The Song of Bernadette was originally made in English.</x:v>
      </x:c>
      <x:c r="E387" s="16" t="n">
        <x:v>2</x:v>
      </x:c>
      <x:c r="F387" s="21" t="str">
        <x:v>The original languages of The Song of Bernadette are English.</x:v>
      </x:c>
      <x:c r="G387" s="2" t="str">
        <x:v>B0</x:v>
      </x:c>
      <x:c r="H387" s="2" t="str">
        <x:v>自动评审02</x:v>
      </x:c>
      <x:c r="I387" s="16" t="n">
        <x:v>2</x:v>
      </x:c>
      <x:c r="J387" s="16" t="n">
        <x:v>2</x:v>
      </x:c>
      <x:c r="K387" s="16" t="n">
        <x:v>4</x:v>
      </x:c>
      <x:c r="L387" s="16" t="n">
        <x:v>0</x:v>
      </x:c>
      <x:c r="M387" s="21" t="str">
        <x:v>英语这一参考语言已充分回答，未添其他语言；languages…are的单复数表达略生硬。</x:v>
      </x:c>
      <x:c r="N387" s="2" t="str">
        <x:v>gpt-6.1-sol</x:v>
      </x:c>
      <x:c r="O387" s="2" t="str">
        <x:v>ultra</x:v>
      </x:c>
      <x:c r="P387" s="16"/>
      <x:c r="Q387" s="16"/>
      <x:c r="R387" s="16"/>
      <x:c r="S387" s="16"/>
      <x:c r="T387" s="16"/>
    </x:row>
    <x:row r="388" ht="54" customHeight="1">
      <x:c r="A388" s="16" t="n">
        <x:v>92</x:v>
      </x:c>
      <x:c r="B388" s="2" t="str">
        <x:v>Q153677_P136_0</x:v>
      </x:c>
      <x:c r="C388" s="21" t="str">
        <x:v>What genre is For a Few Dollars More?</x:v>
      </x:c>
      <x:c r="D388" s="21" t="str">
        <x:v>For a Few Dollars More belongs to the following genres: Western film, action film and Spaghetti Western. || The genres of For a Few Dollars More are Western film, action film and Spaghetti Western.</x:v>
      </x:c>
      <x:c r="E388" s="16" t="n">
        <x:v>1</x:v>
      </x:c>
      <x:c r="F388" s="21" t="str">
        <x:v>For a Few Dollars More belongs to the following genres: Western film, action film and Spaghetti Western.</x:v>
      </x:c>
      <x:c r="G388" s="2" t="str">
        <x:v>A0</x:v>
      </x:c>
      <x:c r="H388" s="2" t="str">
        <x:v>自动评审02</x:v>
      </x:c>
      <x:c r="I388" s="16" t="n">
        <x:v>2</x:v>
      </x:c>
      <x:c r="J388" s="16" t="n">
        <x:v>2</x:v>
      </x:c>
      <x:c r="K388" s="16" t="n">
        <x:v>5</x:v>
      </x:c>
      <x:c r="L388" s="16" t="n">
        <x:v>0</x:v>
      </x:c>
      <x:c r="M388" s="21" t="str">
        <x:v>西部片、动作片和意大利式西部片三项均准确完整，具体与上位类型并列符合参考。</x:v>
      </x:c>
      <x:c r="N388" s="2" t="str">
        <x:v>gpt-6.1-sol</x:v>
      </x:c>
      <x:c r="O388" s="2" t="str">
        <x:v>ultra</x:v>
      </x:c>
      <x:c r="P388" s="16"/>
      <x:c r="Q388" s="16"/>
      <x:c r="R388" s="16"/>
      <x:c r="S388" s="16"/>
      <x:c r="T388" s="16"/>
    </x:row>
    <x:row r="389" ht="54" customHeight="1">
      <x:c r="A389" s="16" t="n">
        <x:v>92</x:v>
      </x:c>
      <x:c r="B389" s="2" t="str">
        <x:v>Q153677_P136_0</x:v>
      </x:c>
      <x:c r="C389" s="21" t="str">
        <x:v>What genre is For a Few Dollars More?</x:v>
      </x:c>
      <x:c r="D389" s="21" t="str">
        <x:v>For a Few Dollars More belongs to the following genres: Western film, action film and Spaghetti Western. || The genres of For a Few Dollars More are Western film, action film and Spaghetti Western.</x:v>
      </x:c>
      <x:c r="E389" s="16" t="n">
        <x:v>2</x:v>
      </x:c>
      <x:c r="F389" s="21" t="str">
        <x:v>For a Few Dollars More belongs to the following genres: Western film, action film and Spaghetti Western.</x:v>
      </x:c>
      <x:c r="G389" s="2" t="str">
        <x:v>B0</x:v>
      </x:c>
      <x:c r="H389" s="2" t="str">
        <x:v>自动评审02</x:v>
      </x:c>
      <x:c r="I389" s="16" t="n">
        <x:v>2</x:v>
      </x:c>
      <x:c r="J389" s="16" t="n">
        <x:v>2</x:v>
      </x:c>
      <x:c r="K389" s="16" t="n">
        <x:v>5</x:v>
      </x:c>
      <x:c r="L389" s="16" t="n">
        <x:v>0</x:v>
      </x:c>
      <x:c r="M389" s="21" t="str">
        <x:v>For a Few Dollars More的三项参考类型全部列出，无遗漏或新增，语句通顺。</x:v>
      </x:c>
      <x:c r="N389" s="2" t="str">
        <x:v>gpt-6.1-sol</x:v>
      </x:c>
      <x:c r="O389" s="2" t="str">
        <x:v>ultra</x:v>
      </x:c>
      <x:c r="P389" s="16"/>
      <x:c r="Q389" s="16"/>
      <x:c r="R389" s="16"/>
      <x:c r="S389" s="16"/>
      <x:c r="T389" s="16"/>
    </x:row>
    <x:row r="390" ht="40" customHeight="1">
      <x:c r="A390" s="16" t="n">
        <x:v>93</x:v>
      </x:c>
      <x:c r="B390" s="2" t="str">
        <x:v>Q1058555_P495_0</x:v>
      </x:c>
      <x:c r="C390" s="21" t="str">
        <x:v>Which country did Lorenzo's Oil originate in?</x:v>
      </x:c>
      <x:c r="D390" s="21" t="str">
        <x:v>Lorenzo's Oil originated in United States. || The countries of origin of Lorenzo's Oil are United States.</x:v>
      </x:c>
      <x:c r="E390" s="16" t="n">
        <x:v>1</x:v>
      </x:c>
      <x:c r="F390" s="21" t="str">
        <x:v>Lorenzo's Oil originated in United States.</x:v>
      </x:c>
      <x:c r="G390" s="2" t="str">
        <x:v>B0</x:v>
      </x:c>
      <x:c r="H390" s="2" t="str">
        <x:v>自动评审02</x:v>
      </x:c>
      <x:c r="I390" s="16" t="n">
        <x:v>2</x:v>
      </x:c>
      <x:c r="J390" s="16" t="n">
        <x:v>2</x:v>
      </x:c>
      <x:c r="K390" s="16" t="n">
        <x:v>4</x:v>
      </x:c>
      <x:c r="L390" s="16" t="n">
        <x:v>0</x:v>
      </x:c>
      <x:c r="M390" s="21" t="str">
        <x:v>Lorenzo's Oil的美国产地准确完整；in United States少定冠词the。</x:v>
      </x:c>
      <x:c r="N390" s="2" t="str">
        <x:v>gpt-6.1-sol</x:v>
      </x:c>
      <x:c r="O390" s="2" t="str">
        <x:v>ultra</x:v>
      </x:c>
      <x:c r="P390" s="16"/>
      <x:c r="Q390" s="16"/>
      <x:c r="R390" s="16"/>
      <x:c r="S390" s="16"/>
      <x:c r="T390" s="16"/>
    </x:row>
    <x:row r="391" ht="40" customHeight="1">
      <x:c r="A391" s="16" t="n">
        <x:v>93</x:v>
      </x:c>
      <x:c r="B391" s="2" t="str">
        <x:v>Q1058555_P495_0</x:v>
      </x:c>
      <x:c r="C391" s="21" t="str">
        <x:v>Which country did Lorenzo's Oil originate in?</x:v>
      </x:c>
      <x:c r="D391" s="21" t="str">
        <x:v>Lorenzo's Oil originated in United States. || The countries of origin of Lorenzo's Oil are United States.</x:v>
      </x:c>
      <x:c r="E391" s="16" t="n">
        <x:v>2</x:v>
      </x:c>
      <x:c r="F391" s="21" t="str">
        <x:v>Lorenzo's Oil originated in United States.</x:v>
      </x:c>
      <x:c r="G391" s="2" t="str">
        <x:v>A0</x:v>
      </x:c>
      <x:c r="H391" s="2" t="str">
        <x:v>自动评审02</x:v>
      </x:c>
      <x:c r="I391" s="16" t="n">
        <x:v>2</x:v>
      </x:c>
      <x:c r="J391" s="16" t="n">
        <x:v>2</x:v>
      </x:c>
      <x:c r="K391" s="16" t="n">
        <x:v>4</x:v>
      </x:c>
      <x:c r="L391" s="16" t="n">
        <x:v>0</x:v>
      </x:c>
      <x:c r="M391" s="21" t="str">
        <x:v>参考唯一国家美国已被正确给出，无额外断言；国家名冠词缺失影响自然度。</x:v>
      </x:c>
      <x:c r="N391" s="2" t="str">
        <x:v>gpt-6.1-sol</x:v>
      </x:c>
      <x:c r="O391" s="2" t="str">
        <x:v>ultra</x:v>
      </x:c>
      <x:c r="P391" s="16"/>
      <x:c r="Q391" s="16"/>
      <x:c r="R391" s="16"/>
      <x:c r="S391" s="16"/>
      <x:c r="T391" s="16"/>
    </x:row>
    <x:row r="392" ht="40" customHeight="1">
      <x:c r="A392" s="16" t="n">
        <x:v>94</x:v>
      </x:c>
      <x:c r="B392" s="2" t="str">
        <x:v>Q1163081_P364_2</x:v>
      </x:c>
      <x:c r="C392" s="21" t="str">
        <x:v>Name the original language or languages of Money Train.</x:v>
      </x:c>
      <x:c r="D392" s="21" t="str">
        <x:v>The original languages of Money Train are English. || Money Train was originally made in English.</x:v>
      </x:c>
      <x:c r="E392" s="16" t="n">
        <x:v>1</x:v>
      </x:c>
      <x:c r="F392" s="21" t="str">
        <x:v>The original languages of Money Train are English.</x:v>
      </x:c>
      <x:c r="G392" s="2" t="str">
        <x:v>B0</x:v>
      </x:c>
      <x:c r="H392" s="2" t="str">
        <x:v>自动评审02</x:v>
      </x:c>
      <x:c r="I392" s="16" t="n">
        <x:v>2</x:v>
      </x:c>
      <x:c r="J392" s="16" t="n">
        <x:v>2</x:v>
      </x:c>
      <x:c r="K392" s="16" t="n">
        <x:v>4</x:v>
      </x:c>
      <x:c r="L392" s="16" t="n">
        <x:v>0</x:v>
      </x:c>
      <x:c r="M392" s="21" t="str">
        <x:v>Money Train原始语言English与参考一致，覆盖完整；单一语言用复数languages稍不自然。</x:v>
      </x:c>
      <x:c r="N392" s="2" t="str">
        <x:v>gpt-6.1-sol</x:v>
      </x:c>
      <x:c r="O392" s="2" t="str">
        <x:v>ultra</x:v>
      </x:c>
      <x:c r="P392" s="16"/>
      <x:c r="Q392" s="16"/>
      <x:c r="R392" s="16"/>
      <x:c r="S392" s="16"/>
      <x:c r="T392" s="16"/>
    </x:row>
    <x:row r="393" ht="40" customHeight="1">
      <x:c r="A393" s="16" t="n">
        <x:v>94</x:v>
      </x:c>
      <x:c r="B393" s="2" t="str">
        <x:v>Q1163081_P364_2</x:v>
      </x:c>
      <x:c r="C393" s="21" t="str">
        <x:v>Name the original language or languages of Money Train.</x:v>
      </x:c>
      <x:c r="D393" s="21" t="str">
        <x:v>The original languages of Money Train are English. || Money Train was originally made in English.</x:v>
      </x:c>
      <x:c r="E393" s="16" t="n">
        <x:v>2</x:v>
      </x:c>
      <x:c r="F393" s="21" t="str">
        <x:v>The original languages of Money Train are English.</x:v>
      </x:c>
      <x:c r="G393" s="2" t="str">
        <x:v>A0</x:v>
      </x:c>
      <x:c r="H393" s="2" t="str">
        <x:v>自动评审02</x:v>
      </x:c>
      <x:c r="I393" s="16" t="n">
        <x:v>2</x:v>
      </x:c>
      <x:c r="J393" s="16" t="n">
        <x:v>2</x:v>
      </x:c>
      <x:c r="K393" s="16" t="n">
        <x:v>4</x:v>
      </x:c>
      <x:c r="L393" s="16" t="n">
        <x:v>0</x:v>
      </x:c>
      <x:c r="M393" s="21" t="str">
        <x:v>英语这一参考语言已明确给出，未加入其他语言；复数语言框架有轻微搭配问题。</x:v>
      </x:c>
      <x:c r="N393" s="2" t="str">
        <x:v>gpt-6.1-sol</x:v>
      </x:c>
      <x:c r="O393" s="2" t="str">
        <x:v>ultra</x:v>
      </x:c>
      <x:c r="P393" s="16"/>
      <x:c r="Q393" s="16"/>
      <x:c r="R393" s="16"/>
      <x:c r="S393" s="16"/>
      <x:c r="T393" s="16"/>
    </x:row>
    <x:row r="394" ht="40" customHeight="1">
      <x:c r="A394" s="16" t="n">
        <x:v>95</x:v>
      </x:c>
      <x:c r="B394" s="2" t="str">
        <x:v>Q60795735_P57_1</x:v>
      </x:c>
      <x:c r="C394" s="21" t="str">
        <x:v>Who was the director of Leaving Neverland?</x:v>
      </x:c>
      <x:c r="D394" s="21" t="str">
        <x:v>Leaving Neverland was directed by Dan Reed. || The director or directors of Leaving Neverland are Dan Reed.</x:v>
      </x:c>
      <x:c r="E394" s="16" t="n">
        <x:v>1</x:v>
      </x:c>
      <x:c r="F394" s="21" t="str">
        <x:v>Leaving Neverland was directed by Dan Reed.</x:v>
      </x:c>
      <x:c r="G394" s="2" t="str">
        <x:v>A0</x:v>
      </x:c>
      <x:c r="H394" s="2" t="str">
        <x:v>自动评审02</x:v>
      </x:c>
      <x:c r="I394" s="16" t="n">
        <x:v>2</x:v>
      </x:c>
      <x:c r="J394" s="16" t="n">
        <x:v>2</x:v>
      </x:c>
      <x:c r="K394" s="16" t="n">
        <x:v>5</x:v>
      </x:c>
      <x:c r="L394" s="16" t="n">
        <x:v>0</x:v>
      </x:c>
      <x:c r="M394" s="21" t="str">
        <x:v>Dan Reed准确完整地回答Leaving Neverland的导演，句子自然，未增其他事实。</x:v>
      </x:c>
      <x:c r="N394" s="2" t="str">
        <x:v>gpt-6.1-sol</x:v>
      </x:c>
      <x:c r="O394" s="2" t="str">
        <x:v>ultra</x:v>
      </x:c>
      <x:c r="P394" s="16"/>
      <x:c r="Q394" s="16"/>
      <x:c r="R394" s="16"/>
      <x:c r="S394" s="16"/>
      <x:c r="T394" s="16"/>
    </x:row>
    <x:row r="395" ht="40" customHeight="1">
      <x:c r="A395" s="16" t="n">
        <x:v>95</x:v>
      </x:c>
      <x:c r="B395" s="2" t="str">
        <x:v>Q60795735_P57_1</x:v>
      </x:c>
      <x:c r="C395" s="21" t="str">
        <x:v>Who was the director of Leaving Neverland?</x:v>
      </x:c>
      <x:c r="D395" s="21" t="str">
        <x:v>Leaving Neverland was directed by Dan Reed. || The director or directors of Leaving Neverland are Dan Reed.</x:v>
      </x:c>
      <x:c r="E395" s="16" t="n">
        <x:v>2</x:v>
      </x:c>
      <x:c r="F395" s="21" t="str">
        <x:v>Leaving Neverland was directed by Dan Reed.</x:v>
      </x:c>
      <x:c r="G395" s="2" t="str">
        <x:v>B0</x:v>
      </x:c>
      <x:c r="H395" s="2" t="str">
        <x:v>自动评审02</x:v>
      </x:c>
      <x:c r="I395" s="16" t="n">
        <x:v>2</x:v>
      </x:c>
      <x:c r="J395" s="16" t="n">
        <x:v>2</x:v>
      </x:c>
      <x:c r="K395" s="16" t="n">
        <x:v>5</x:v>
      </x:c>
      <x:c r="L395" s="16" t="n">
        <x:v>0</x:v>
      </x:c>
      <x:c r="M395" s="21" t="str">
        <x:v>参考唯一导演Dan Reed已给出，电影与执导者关系清楚，表达流畅。</x:v>
      </x:c>
      <x:c r="N395" s="2" t="str">
        <x:v>gpt-6.1-sol</x:v>
      </x:c>
      <x:c r="O395" s="2" t="str">
        <x:v>ultra</x:v>
      </x:c>
      <x:c r="P395" s="16"/>
      <x:c r="Q395" s="16"/>
      <x:c r="R395" s="16"/>
      <x:c r="S395" s="16"/>
      <x:c r="T395" s="16"/>
    </x:row>
    <x:row r="396" ht="40" customHeight="1">
      <x:c r="A396" s="16" t="n">
        <x:v>96</x:v>
      </x:c>
      <x:c r="B396" s="2" t="str">
        <x:v>Q61953_P495_2</x:v>
      </x:c>
      <x:c r="C396" s="21" t="str">
        <x:v>Name the countries of origin of Konikar Ramdhenu.</x:v>
      </x:c>
      <x:c r="D396" s="21" t="str">
        <x:v>Konikar Ramdhenu originated in India. || The countries of origin of Konikar Ramdhenu are India.</x:v>
      </x:c>
      <x:c r="E396" s="16" t="n">
        <x:v>1</x:v>
      </x:c>
      <x:c r="F396" s="21" t="str">
        <x:v>Konikar Ramdhenu originated in India.</x:v>
      </x:c>
      <x:c r="G396" s="2" t="str">
        <x:v>A0</x:v>
      </x:c>
      <x:c r="H396" s="2" t="str">
        <x:v>自动评审02</x:v>
      </x:c>
      <x:c r="I396" s="16" t="n">
        <x:v>2</x:v>
      </x:c>
      <x:c r="J396" s="16" t="n">
        <x:v>2</x:v>
      </x:c>
      <x:c r="K396" s="16" t="n">
        <x:v>5</x:v>
      </x:c>
      <x:c r="L396" s="16" t="n">
        <x:v>0</x:v>
      </x:c>
      <x:c r="M396" s="21" t="str">
        <x:v>Konikar Ramdhenu产自India与参考一致，唯一国家完整给出，英语自然。</x:v>
      </x:c>
      <x:c r="N396" s="2" t="str">
        <x:v>gpt-6.1-sol</x:v>
      </x:c>
      <x:c r="O396" s="2" t="str">
        <x:v>ultra</x:v>
      </x:c>
      <x:c r="P396" s="16"/>
      <x:c r="Q396" s="16"/>
      <x:c r="R396" s="16"/>
      <x:c r="S396" s="16"/>
      <x:c r="T396" s="16"/>
    </x:row>
    <x:row r="397" ht="40" customHeight="1">
      <x:c r="A397" s="16" t="n">
        <x:v>96</x:v>
      </x:c>
      <x:c r="B397" s="2" t="str">
        <x:v>Q61953_P495_2</x:v>
      </x:c>
      <x:c r="C397" s="21" t="str">
        <x:v>Name the countries of origin of Konikar Ramdhenu.</x:v>
      </x:c>
      <x:c r="D397" s="21" t="str">
        <x:v>Konikar Ramdhenu originated in India. || The countries of origin of Konikar Ramdhenu are India.</x:v>
      </x:c>
      <x:c r="E397" s="16" t="n">
        <x:v>2</x:v>
      </x:c>
      <x:c r="F397" s="21" t="str">
        <x:v>Konikar Ramdhenu originated in India.</x:v>
      </x:c>
      <x:c r="G397" s="2" t="str">
        <x:v>B0</x:v>
      </x:c>
      <x:c r="H397" s="2" t="str">
        <x:v>自动评审02</x:v>
      </x:c>
      <x:c r="I397" s="16" t="n">
        <x:v>2</x:v>
      </x:c>
      <x:c r="J397" s="16" t="n">
        <x:v>2</x:v>
      </x:c>
      <x:c r="K397" s="16" t="n">
        <x:v>5</x:v>
      </x:c>
      <x:c r="L397" s="16" t="n">
        <x:v>0</x:v>
      </x:c>
      <x:c r="M397" s="21" t="str">
        <x:v>印度这一产地准确完整，无新增国家或属性，句子清楚。</x:v>
      </x:c>
      <x:c r="N397" s="2" t="str">
        <x:v>gpt-6.1-sol</x:v>
      </x:c>
      <x:c r="O397" s="2" t="str">
        <x:v>ultra</x:v>
      </x:c>
      <x:c r="P397" s="16"/>
      <x:c r="Q397" s="16"/>
      <x:c r="R397" s="16"/>
      <x:c r="S397" s="16"/>
      <x:c r="T397" s="16"/>
    </x:row>
    <x:row r="398" ht="40" customHeight="1">
      <x:c r="A398" s="16" t="n">
        <x:v>97</x:v>
      </x:c>
      <x:c r="B398" s="2" t="str">
        <x:v>Q27178_P136_0</x:v>
      </x:c>
      <x:c r="C398" s="21" t="str">
        <x:v>What genre is Hamlet?</x:v>
      </x:c>
      <x:c r="D398" s="21" t="str">
        <x:v>Hamlet belongs to the following genres: drama film. || The genres of Hamlet are drama film.</x:v>
      </x:c>
      <x:c r="E398" s="16" t="n">
        <x:v>1</x:v>
      </x:c>
      <x:c r="F398" s="21" t="str">
        <x:v>Hamlet belongs to the following genres: drama film.</x:v>
      </x:c>
      <x:c r="G398" s="2" t="str">
        <x:v>A0</x:v>
      </x:c>
      <x:c r="H398" s="2" t="str">
        <x:v>自动评审02</x:v>
      </x:c>
      <x:c r="I398" s="16" t="n">
        <x:v>2</x:v>
      </x:c>
      <x:c r="J398" s="16" t="n">
        <x:v>2</x:v>
      </x:c>
      <x:c r="K398" s="16" t="n">
        <x:v>4</x:v>
      </x:c>
      <x:c r="L398" s="16" t="n">
        <x:v>0</x:v>
      </x:c>
      <x:c r="M398" s="21" t="str">
        <x:v>Hamlet的剧情片类型符合参考且完整；只列一类却使用following genres略不自然。</x:v>
      </x:c>
      <x:c r="N398" s="2" t="str">
        <x:v>gpt-6.1-sol</x:v>
      </x:c>
      <x:c r="O398" s="2" t="str">
        <x:v>ultra</x:v>
      </x:c>
      <x:c r="P398" s="16"/>
      <x:c r="Q398" s="16"/>
      <x:c r="R398" s="16"/>
      <x:c r="S398" s="16"/>
      <x:c r="T398" s="16"/>
    </x:row>
    <x:row r="399" ht="40" customHeight="1">
      <x:c r="A399" s="16" t="n">
        <x:v>97</x:v>
      </x:c>
      <x:c r="B399" s="2" t="str">
        <x:v>Q27178_P136_0</x:v>
      </x:c>
      <x:c r="C399" s="21" t="str">
        <x:v>What genre is Hamlet?</x:v>
      </x:c>
      <x:c r="D399" s="21" t="str">
        <x:v>Hamlet belongs to the following genres: drama film. || The genres of Hamlet are drama film.</x:v>
      </x:c>
      <x:c r="E399" s="16" t="n">
        <x:v>2</x:v>
      </x:c>
      <x:c r="F399" s="21" t="str">
        <x:v>Hamlet belongs to the following genres: drama film.</x:v>
      </x:c>
      <x:c r="G399" s="2" t="str">
        <x:v>B0</x:v>
      </x:c>
      <x:c r="H399" s="2" t="str">
        <x:v>自动评审02</x:v>
      </x:c>
      <x:c r="I399" s="16" t="n">
        <x:v>2</x:v>
      </x:c>
      <x:c r="J399" s="16" t="n">
        <x:v>2</x:v>
      </x:c>
      <x:c r="K399" s="16" t="n">
        <x:v>4</x:v>
      </x:c>
      <x:c r="L399" s="16" t="n">
        <x:v>0</x:v>
      </x:c>
      <x:c r="M399" s="21" t="str">
        <x:v>参考唯一类型drama film已正确给出；单项类型与复数genres的搭配稍生硬。</x:v>
      </x:c>
      <x:c r="N399" s="2" t="str">
        <x:v>gpt-6.1-sol</x:v>
      </x:c>
      <x:c r="O399" s="2" t="str">
        <x:v>ultra</x:v>
      </x:c>
      <x:c r="P399" s="16"/>
      <x:c r="Q399" s="16"/>
      <x:c r="R399" s="16"/>
      <x:c r="S399" s="16"/>
      <x:c r="T399" s="16"/>
    </x:row>
    <x:row r="400" ht="40" customHeight="1">
      <x:c r="A400" s="16" t="n">
        <x:v>98</x:v>
      </x:c>
      <x:c r="B400" s="2" t="str">
        <x:v>Q1637811_P57_1</x:v>
      </x:c>
      <x:c r="C400" s="21" t="str">
        <x:v>Who was the director of Hunger?</x:v>
      </x:c>
      <x:c r="D400" s="21" t="str">
        <x:v>Hunger was directed by Steve McQueen. || The director or directors of Hunger are Steve McQueen.</x:v>
      </x:c>
      <x:c r="E400" s="16" t="n">
        <x:v>1</x:v>
      </x:c>
      <x:c r="F400" s="21" t="str">
        <x:v>Hunger was directed by Steve McQueen.</x:v>
      </x:c>
      <x:c r="G400" s="2" t="str">
        <x:v>B0</x:v>
      </x:c>
      <x:c r="H400" s="2" t="str">
        <x:v>自动评审02</x:v>
      </x:c>
      <x:c r="I400" s="16" t="n">
        <x:v>2</x:v>
      </x:c>
      <x:c r="J400" s="16" t="n">
        <x:v>2</x:v>
      </x:c>
      <x:c r="K400" s="16" t="n">
        <x:v>5</x:v>
      </x:c>
      <x:c r="L400" s="16" t="n">
        <x:v>0</x:v>
      </x:c>
      <x:c r="M400" s="21" t="str">
        <x:v>Steve McQueen准确对应Hunger的导演，所需信息完整，句子自然。</x:v>
      </x:c>
      <x:c r="N400" s="2" t="str">
        <x:v>gpt-6.1-sol</x:v>
      </x:c>
      <x:c r="O400" s="2" t="str">
        <x:v>ultra</x:v>
      </x:c>
      <x:c r="P400" s="16"/>
      <x:c r="Q400" s="16"/>
      <x:c r="R400" s="16"/>
      <x:c r="S400" s="16"/>
      <x:c r="T400" s="16"/>
    </x:row>
    <x:row r="401" ht="40" customHeight="1">
      <x:c r="A401" s="16" t="n">
        <x:v>98</x:v>
      </x:c>
      <x:c r="B401" s="2" t="str">
        <x:v>Q1637811_P57_1</x:v>
      </x:c>
      <x:c r="C401" s="21" t="str">
        <x:v>Who was the director of Hunger?</x:v>
      </x:c>
      <x:c r="D401" s="21" t="str">
        <x:v>Hunger was directed by Steve McQueen. || The director or directors of Hunger are Steve McQueen.</x:v>
      </x:c>
      <x:c r="E401" s="16" t="n">
        <x:v>2</x:v>
      </x:c>
      <x:c r="F401" s="21" t="str">
        <x:v>Hunger was directed by Steve McQueen.</x:v>
      </x:c>
      <x:c r="G401" s="2" t="str">
        <x:v>A0</x:v>
      </x:c>
      <x:c r="H401" s="2" t="str">
        <x:v>自动评审02</x:v>
      </x:c>
      <x:c r="I401" s="16" t="n">
        <x:v>2</x:v>
      </x:c>
      <x:c r="J401" s="16" t="n">
        <x:v>2</x:v>
      </x:c>
      <x:c r="K401" s="16" t="n">
        <x:v>5</x:v>
      </x:c>
      <x:c r="L401" s="16" t="n">
        <x:v>0</x:v>
      </x:c>
      <x:c r="M401" s="21" t="str">
        <x:v>Hunger由Steve McQueen执导与参考一致，无遗漏或额外断言，表述清晰。</x:v>
      </x:c>
      <x:c r="N401" s="2" t="str">
        <x:v>gpt-6.1-sol</x:v>
      </x:c>
      <x:c r="O401" s="2" t="str">
        <x:v>ultra</x:v>
      </x:c>
      <x:c r="P401" s="16"/>
      <x:c r="Q401" s="16"/>
      <x:c r="R401" s="16"/>
      <x:c r="S401" s="16"/>
      <x:c r="T401" s="16"/>
    </x:row>
    <x:row r="402" ht="40" customHeight="1">
      <x:c r="A402" s="16" t="n">
        <x:v>99</x:v>
      </x:c>
      <x:c r="B402" s="2" t="str">
        <x:v>Q27894574_P364_1</x:v>
      </x:c>
      <x:c r="C402" s="21" t="str">
        <x:v>Which languages was Bohemian Rhapsody originally made in?</x:v>
      </x:c>
      <x:c r="D402" s="21" t="str">
        <x:v>The original languages of Bohemian Rhapsody are English. || Bohemian Rhapsody was originally made in English.</x:v>
      </x:c>
      <x:c r="E402" s="16" t="n">
        <x:v>1</x:v>
      </x:c>
      <x:c r="F402" s="21" t="str">
        <x:v>The original languages of Bohemian Rhapsody are English.</x:v>
      </x:c>
      <x:c r="G402" s="2" t="str">
        <x:v>A0</x:v>
      </x:c>
      <x:c r="H402" s="2" t="str">
        <x:v>自动评审02</x:v>
      </x:c>
      <x:c r="I402" s="16" t="n">
        <x:v>2</x:v>
      </x:c>
      <x:c r="J402" s="16" t="n">
        <x:v>2</x:v>
      </x:c>
      <x:c r="K402" s="16" t="n">
        <x:v>4</x:v>
      </x:c>
      <x:c r="L402" s="16" t="n">
        <x:v>0</x:v>
      </x:c>
      <x:c r="M402" s="21" t="str">
        <x:v>Bohemian Rhapsody的English语言信息准确完整；单一语言使用复数languages…are略不自然。</x:v>
      </x:c>
      <x:c r="N402" s="2" t="str">
        <x:v>gpt-6.1-sol</x:v>
      </x:c>
      <x:c r="O402" s="2" t="str">
        <x:v>ultra</x:v>
      </x:c>
      <x:c r="P402" s="16"/>
      <x:c r="Q402" s="16"/>
      <x:c r="R402" s="16"/>
      <x:c r="S402" s="16"/>
      <x:c r="T402" s="16"/>
    </x:row>
    <x:row r="403" ht="40" customHeight="1">
      <x:c r="A403" s="16" t="n">
        <x:v>99</x:v>
      </x:c>
      <x:c r="B403" s="2" t="str">
        <x:v>Q27894574_P364_1</x:v>
      </x:c>
      <x:c r="C403" s="21" t="str">
        <x:v>Which languages was Bohemian Rhapsody originally made in?</x:v>
      </x:c>
      <x:c r="D403" s="21" t="str">
        <x:v>The original languages of Bohemian Rhapsody are English. || Bohemian Rhapsody was originally made in English.</x:v>
      </x:c>
      <x:c r="E403" s="16" t="n">
        <x:v>2</x:v>
      </x:c>
      <x:c r="F403" s="21" t="str">
        <x:v>The original languages of Bohemian Rhapsody are English.</x:v>
      </x:c>
      <x:c r="G403" s="2" t="str">
        <x:v>B0</x:v>
      </x:c>
      <x:c r="H403" s="2" t="str">
        <x:v>自动评审02</x:v>
      </x:c>
      <x:c r="I403" s="16" t="n">
        <x:v>2</x:v>
      </x:c>
      <x:c r="J403" s="16" t="n">
        <x:v>2</x:v>
      </x:c>
      <x:c r="K403" s="16" t="n">
        <x:v>4</x:v>
      </x:c>
      <x:c r="L403" s="16" t="n">
        <x:v>0</x:v>
      </x:c>
      <x:c r="M403" s="21" t="str">
        <x:v>英语覆盖参考全部语言，未增加其他语言；复数框架用于单一语言稍生硬。</x:v>
      </x:c>
      <x:c r="N403" s="2" t="str">
        <x:v>gpt-6.1-sol</x:v>
      </x:c>
      <x:c r="O403" s="2" t="str">
        <x:v>ultra</x:v>
      </x:c>
      <x:c r="P403" s="16"/>
      <x:c r="Q403" s="16"/>
      <x:c r="R403" s="16"/>
      <x:c r="S403" s="16"/>
      <x:c r="T403" s="16"/>
    </x:row>
    <x:row r="404" ht="54" customHeight="1">
      <x:c r="A404" s="16" t="n">
        <x:v>100</x:v>
      </x:c>
      <x:c r="B404" s="2" t="str">
        <x:v>Q54489141_P136_1</x:v>
      </x:c>
      <x:c r="C404" s="21" t="str">
        <x:v>Which genres does The Personal History of David Copperfield belong to?</x:v>
      </x:c>
      <x:c r="D404" s="21" t="str">
        <x:v>The Personal History of David Copperfield belongs to the following genres: drama film and comedy drama. || The genres of The Personal History of David Copperfield are drama film and comedy drama.</x:v>
      </x:c>
      <x:c r="E404" s="16" t="n">
        <x:v>1</x:v>
      </x:c>
      <x:c r="F404" s="21" t="str">
        <x:v>The Personal History of David Copperfield belongs to the following genres: drama film and comedy drama.</x:v>
      </x:c>
      <x:c r="G404" s="2" t="str">
        <x:v>A0</x:v>
      </x:c>
      <x:c r="H404" s="2" t="str">
        <x:v>自动评审02</x:v>
      </x:c>
      <x:c r="I404" s="16" t="n">
        <x:v>2</x:v>
      </x:c>
      <x:c r="J404" s="16" t="n">
        <x:v>2</x:v>
      </x:c>
      <x:c r="K404" s="16" t="n">
        <x:v>5</x:v>
      </x:c>
      <x:c r="L404" s="16" t="n">
        <x:v>0</x:v>
      </x:c>
      <x:c r="M404" s="21" t="str">
        <x:v>剧情片与喜剧剧情片两种参考类型准确完整，长片名与类型关系清楚，句式自然。</x:v>
      </x:c>
      <x:c r="N404" s="2" t="str">
        <x:v>gpt-6.1-sol</x:v>
      </x:c>
      <x:c r="O404" s="2" t="str">
        <x:v>ultra</x:v>
      </x:c>
      <x:c r="P404" s="16"/>
      <x:c r="Q404" s="16"/>
      <x:c r="R404" s="16"/>
      <x:c r="S404" s="16"/>
      <x:c r="T404" s="16"/>
    </x:row>
    <x:row r="405" ht="54" customHeight="1">
      <x:c r="A405" s="16" t="n">
        <x:v>100</x:v>
      </x:c>
      <x:c r="B405" s="2" t="str">
        <x:v>Q54489141_P136_1</x:v>
      </x:c>
      <x:c r="C405" s="21" t="str">
        <x:v>Which genres does The Personal History of David Copperfield belong to?</x:v>
      </x:c>
      <x:c r="D405" s="21" t="str">
        <x:v>The Personal History of David Copperfield belongs to the following genres: drama film and comedy drama. || The genres of The Personal History of David Copperfield are drama film and comedy drama.</x:v>
      </x:c>
      <x:c r="E405" s="16" t="n">
        <x:v>2</x:v>
      </x:c>
      <x:c r="F405" s="21" t="str">
        <x:v>The Personal History of David Copperfield belongs to the following genres: drama film and comedy drama.</x:v>
      </x:c>
      <x:c r="G405" s="2" t="str">
        <x:v>B0</x:v>
      </x:c>
      <x:c r="H405" s="2" t="str">
        <x:v>自动评审02</x:v>
      </x:c>
      <x:c r="I405" s="16" t="n">
        <x:v>2</x:v>
      </x:c>
      <x:c r="J405" s="16" t="n">
        <x:v>2</x:v>
      </x:c>
      <x:c r="K405" s="16" t="n">
        <x:v>5</x:v>
      </x:c>
      <x:c r="L405" s="16" t="n">
        <x:v>0</x:v>
      </x:c>
      <x:c r="M405" s="21" t="str">
        <x:v>The Personal History of David Copperfield的drama film及comedy drama均覆盖参考，表达流畅。</x:v>
      </x:c>
      <x:c r="N405" s="2" t="str">
        <x:v>gpt-6.1-sol</x:v>
      </x:c>
      <x:c r="O405" s="2" t="str">
        <x:v>ultra</x:v>
      </x:c>
      <x:c r="P405" s="16"/>
      <x:c r="Q405" s="16"/>
      <x:c r="R405" s="16"/>
      <x:c r="S405" s="16"/>
      <x:c r="T405" s="16"/>
    </x:row>
  </x:sheetData>
  <x:conditionalFormatting sqref="I6:J405">
    <x:cfRule type="cellIs" dxfId="0" priority="1" operator="lessThan">
      <x:formula>2</x:formula>
    </x:cfRule>
  </x:conditionalFormatting>
  <x:conditionalFormatting sqref="L6:L405">
    <x:cfRule type="cellIs" dxfId="1" priority="2" operator="equal">
      <x:formula>1</x:formula>
    </x:cfRule>
  </x:conditionalFormatting>
  <x:conditionalFormatting sqref="T6:T205">
    <x:cfRule type="cellIs" dxfId="2" priority="3" operator="equal">
      <x:formula>0</x:formula>
    </x:cfRule>
  </x:conditionalFormatting>
  <x:pageMargins left="0.7" right="0.7" top="0.75" bottom="0.75" header="0.3" footer="0.3"/>
</x:worksheet>
</file>